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\project\kazeshiro_translate\kazeshiro_demo\outputs\019ffe40-472a-7932-802b-34ce8d556cae\"/>
    </mc:Choice>
  </mc:AlternateContent>
  <xr:revisionPtr revIDLastSave="0" documentId="13_ncr:1_{D7449C0C-CD2D-4300-97AA-AF23A8CE0938}" xr6:coauthVersionLast="47" xr6:coauthVersionMax="47" xr10:uidLastSave="{00000000-0000-0000-0000-000000000000}"/>
  <bookViews>
    <workbookView xWindow="5955" yWindow="2460" windowWidth="18900" windowHeight="11505" activeTab="1" xr2:uid="{00000000-000D-0000-FFFF-FFFF00000000}"/>
  </bookViews>
  <sheets>
    <sheet name="填写说明" sheetId="1" r:id="rId1"/>
    <sheet name="翻译清单" sheetId="2" r:id="rId2"/>
    <sheet name="位置明细" sheetId="3" r:id="rId3"/>
    <sheet name="OCR原始明细" sheetId="4" r:id="rId4"/>
    <sheet name="图片清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7" i="3" l="1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B7" i="1"/>
  <c r="A7" i="1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B9" i="1"/>
  <c r="A9" i="1"/>
  <c r="B5" i="1"/>
  <c r="A5" i="1"/>
</calcChain>
</file>

<file path=xl/sharedStrings.xml><?xml version="1.0" encoding="utf-8"?>
<sst xmlns="http://schemas.openxmlformats.org/spreadsheetml/2006/main" count="6419" uniqueCount="1662">
  <si>
    <t>uipsd 图片文字汉化工作表</t>
  </si>
  <si>
    <t>已扫描 52 张 PNG；翻译由你填写，坐标、候选色值和字体风格用于后续图片回填。</t>
  </si>
  <si>
    <t>图片总数</t>
  </si>
  <si>
    <t>含文字图片</t>
  </si>
  <si>
    <t>填写顺序</t>
  </si>
  <si>
    <t>1. 打开“翻译清单”，只填写黄色的“中文译文”列。
2. 相同 ID 会在“位置明细”中自动引用同一译文。
3. 优先处理“处理建议=待翻译”的日文；英文、品牌字和版权可按需保留。
4. 字色说明为人工视觉分类；候选十六进制色来自识别框像素，最终重绘前请对照原 PNG。
5. “OCR原始明细”保留全部机器识别框，只用于查漏，不建议直接翻译。</t>
  </si>
  <si>
    <t>唯一原文条目</t>
  </si>
  <si>
    <t>待翻译未填写</t>
  </si>
  <si>
    <t>OCR 原始框</t>
  </si>
  <si>
    <t>已修改中文图集</t>
  </si>
  <si>
    <t>状态说明</t>
  </si>
  <si>
    <t>待翻译</t>
  </si>
  <si>
    <t>日文 UI 文案，建议优先填写</t>
  </si>
  <si>
    <t>按需翻译</t>
  </si>
  <si>
    <t>英语、数字或品牌内容，由你决定</t>
  </si>
  <si>
    <t>建议保留</t>
  </si>
  <si>
    <t>版权等固定文本</t>
  </si>
  <si>
    <t>人工补录</t>
  </si>
  <si>
    <t>OCR 未能可靠定位，原文已人工整理</t>
  </si>
  <si>
    <t>黄色列</t>
  </si>
  <si>
    <t>唯一需要手工填写的译文列</t>
  </si>
  <si>
    <t>黑／蓝</t>
  </si>
  <si>
    <t>常见普通与悬停状态</t>
  </si>
  <si>
    <t>白字描边</t>
  </si>
  <si>
    <t>常见按钮和标题状态</t>
  </si>
  <si>
    <t>候选色值</t>
  </si>
  <si>
    <t>识别框内的高频色，不等于最终精确色</t>
  </si>
  <si>
    <t>位置明细</t>
  </si>
  <si>
    <t>按图片列出原文、坐标和样式</t>
  </si>
  <si>
    <t>OCR原始明细</t>
  </si>
  <si>
    <t>443 个机器识别框，用于查漏</t>
  </si>
  <si>
    <t>图片清单</t>
  </si>
  <si>
    <t>52 张 PNG 的扫描状态</t>
  </si>
  <si>
    <t>状态变体数</t>
  </si>
  <si>
    <t>同一文本在图集中出现的状态/图块估计数</t>
  </si>
  <si>
    <t>已有中文</t>
  </si>
  <si>
    <t>backlog__pack、system0__pack、title__pack</t>
  </si>
  <si>
    <t>未见需翻译文字</t>
  </si>
  <si>
    <t>背景、图标或纯装饰图</t>
  </si>
  <si>
    <t>含文字／已整理</t>
  </si>
  <si>
    <t>已进入翻译清单</t>
  </si>
  <si>
    <t>坐标需复核</t>
  </si>
  <si>
    <t>相邻图块曾被 OCR 合并</t>
  </si>
  <si>
    <t>重要</t>
  </si>
  <si>
    <t>翻译后不要改 ID 或文件名</t>
  </si>
  <si>
    <t>建议</t>
  </si>
  <si>
    <t>中文长度尽量接近日文宽度</t>
  </si>
  <si>
    <t>美术</t>
  </si>
  <si>
    <t>标题字和粗描边需单独重绘</t>
  </si>
  <si>
    <t>透明图集</t>
  </si>
  <si>
    <t>导出时保持原尺寸和透明通道</t>
  </si>
  <si>
    <t>翻译清单（只填写黄色列）</t>
  </si>
  <si>
    <t>每个 ID 只翻译一次；跨图片重复文本共用同一条中文译文。</t>
  </si>
  <si>
    <t>ID</t>
  </si>
  <si>
    <t>原文</t>
  </si>
  <si>
    <t>中文译文</t>
  </si>
  <si>
    <t>语言</t>
  </si>
  <si>
    <t>处理建议</t>
  </si>
  <si>
    <t>来源图片数</t>
  </si>
  <si>
    <t>状态/图块数</t>
  </si>
  <si>
    <t>来源文件</t>
  </si>
  <si>
    <t>字体颜色</t>
  </si>
  <si>
    <t>字体/描边</t>
  </si>
  <si>
    <t>复核状态</t>
  </si>
  <si>
    <t>备注</t>
  </si>
  <si>
    <t>UI-0001</t>
  </si>
  <si>
    <t>この機能が不要な場合は「OFF」を選択してください。</t>
  </si>
  <si>
    <t>日语</t>
  </si>
  <si>
    <t>dialog__pack.png</t>
  </si>
  <si>
    <t>白字／黑字，蓝色强调</t>
  </si>
  <si>
    <t>粗黑体；主提示带黑色粗描边</t>
  </si>
  <si>
    <t>已人工校正</t>
  </si>
  <si>
    <t>UI-0002</t>
  </si>
  <si>
    <t>システム設定画面でいつでも再設定が可能です。</t>
  </si>
  <si>
    <t>UI-0003</t>
  </si>
  <si>
    <t>データを入れ替えますか？</t>
  </si>
  <si>
    <t>已人工校正／坐标需复核</t>
  </si>
  <si>
    <t>UI-0004</t>
  </si>
  <si>
    <t>前回の続きから始めますか？</t>
  </si>
  <si>
    <t>UI-0005</t>
  </si>
  <si>
    <t>タイトル画面に戻りますか？</t>
  </si>
  <si>
    <t>UI-0006</t>
  </si>
  <si>
    <t>データをコピーしますか？</t>
  </si>
  <si>
    <t>UI-0007</t>
  </si>
  <si>
    <t>クイックセーブしますか？</t>
  </si>
  <si>
    <t>UI-0008</t>
  </si>
  <si>
    <t>クイックロードしますか？</t>
  </si>
  <si>
    <t>UI-0009</t>
  </si>
  <si>
    <t>初期設定に戻しますか？</t>
  </si>
  <si>
    <t>UI-0010</t>
  </si>
  <si>
    <t>データを削除しますか？</t>
  </si>
  <si>
    <t>UI-0011</t>
  </si>
  <si>
    <t>ゲームを終了しますか？</t>
  </si>
  <si>
    <t>UI-0012</t>
  </si>
  <si>
    <t>ジャンプしますか？</t>
  </si>
  <si>
    <t>UI-0013</t>
  </si>
  <si>
    <t>上書きしますか？</t>
  </si>
  <si>
    <t>UI-0014</t>
  </si>
  <si>
    <t>セーブしますか？</t>
  </si>
  <si>
    <t>UI-0015</t>
  </si>
  <si>
    <t>ロードしますか？</t>
  </si>
  <si>
    <t>UI-0016</t>
  </si>
  <si>
    <t>次回から表示しない</t>
  </si>
  <si>
    <t>UI-0017</t>
  </si>
  <si>
    <t>サスペンド機能</t>
  </si>
  <si>
    <t>dialog__pack.png
system1__pack.png</t>
  </si>
  <si>
    <t>白字／黑字，蓝色强调；黑字／蓝字／白字</t>
  </si>
  <si>
    <t>粗黑体；主提示带黑色粗描边；粗黑体；普通、悬停、启用、禁用状态</t>
  </si>
  <si>
    <t>已人工校正；已人工校正／坐标需复核</t>
  </si>
  <si>
    <t>同 ID 表示跨图片重复文本，可共用译文。</t>
  </si>
  <si>
    <t>UI-0018</t>
  </si>
  <si>
    <t>YES</t>
  </si>
  <si>
    <t>英语／符号</t>
  </si>
  <si>
    <t>UI-0019</t>
  </si>
  <si>
    <t>NO</t>
  </si>
  <si>
    <t>UI-0020</t>
  </si>
  <si>
    <t>ON</t>
  </si>
  <si>
    <t>dialog__pack.png
system1__pack.png
system2__pack.png
system3__pack.png
system4__pack.png
system5__pack.png</t>
  </si>
  <si>
    <t>白字／黑字，蓝色强调；黑字／蓝字／白字；深蓝字／黑字／白字</t>
  </si>
  <si>
    <t>粗黑体；主提示带黑色粗描边；粗黑体；普通、悬停、启用、禁用状态；粗黑体；人物名与开关状态混排；粗黑体；确认弹窗开关状态；粗黑体；说明文字较小</t>
  </si>
  <si>
    <t>已人工校正／坐标需复核；已人工校正</t>
  </si>
  <si>
    <t>UI-0021</t>
  </si>
  <si>
    <t>OFF</t>
  </si>
  <si>
    <t>UI-0022</t>
  </si>
  <si>
    <t>*DATE</t>
  </si>
  <si>
    <t>file__pack.png</t>
  </si>
  <si>
    <t>黑字／白字，蓝色状态字</t>
  </si>
  <si>
    <t>粗黑体与窄体混排；部分带黑色描边</t>
  </si>
  <si>
    <t>UI-0023</t>
  </si>
  <si>
    <t>*CHAPTER</t>
  </si>
  <si>
    <t>UI-0024</t>
  </si>
  <si>
    <t>*COMMENT</t>
  </si>
  <si>
    <t>UI-0025</t>
  </si>
  <si>
    <t>とける風花とシロうさぎ</t>
  </si>
  <si>
    <t>file__pack.png
popup_quick__bg0.png
title_bg_5.png</t>
  </si>
  <si>
    <t>黑字／白字，蓝色状态字；多色标题、浅灰副标题；粉、蓝、灰多色</t>
  </si>
  <si>
    <t>粗黑体与窄体混排；部分带黑色描边；装饰性标题字；品牌图形；手写／装饰标题字；需单独美术重制</t>
  </si>
  <si>
    <t>UI-0026</t>
  </si>
  <si>
    <t>TOKERU FUUKA TO SHIROUSAGI</t>
  </si>
  <si>
    <t>已人工校正；人工补录／坐标需复核</t>
  </si>
  <si>
    <t>UI-0027</t>
  </si>
  <si>
    <t>No Data</t>
  </si>
  <si>
    <t>file__pack.png
popup_quick__bg0.png</t>
  </si>
  <si>
    <t>黑字／白字，蓝色状态字；多色标题、浅灰副标题</t>
  </si>
  <si>
    <t>粗黑体与窄体混排；部分带黑色描边；装饰性标题字；品牌图形</t>
  </si>
  <si>
    <t>UI-0028</t>
  </si>
  <si>
    <t>クイックロード</t>
  </si>
  <si>
    <t>file__pack.png
system4__pack.png
system5_pulldown__pack.png</t>
  </si>
  <si>
    <t>黑字／白字，蓝色状态字；黑字／蓝字／白字；白字／浅蓝字</t>
  </si>
  <si>
    <t>粗黑体与窄体混排；部分带黑色描边；粗黑体；确认弹窗开关状态；粗黑体；蓝色菜单普通与悬停状态</t>
  </si>
  <si>
    <t>UI-0029</t>
  </si>
  <si>
    <t>チャプターとコメントを表示</t>
  </si>
  <si>
    <t>UI-0030</t>
  </si>
  <si>
    <t>セーブ</t>
  </si>
  <si>
    <t>file__pack.png
system5_pulldown__pack.png</t>
  </si>
  <si>
    <t>黑字／白字，蓝色状态字；白字／浅蓝字</t>
  </si>
  <si>
    <t>粗黑体与窄体混排；部分带黑色描边；粗黑体；蓝色菜单普通与悬停状态</t>
  </si>
  <si>
    <t>UI-0031</t>
  </si>
  <si>
    <t>ロード</t>
  </si>
  <si>
    <t>UI-0032</t>
  </si>
  <si>
    <t>EDITボタンのホールド</t>
  </si>
  <si>
    <t>UI-0033</t>
  </si>
  <si>
    <t>データ入れ替え</t>
  </si>
  <si>
    <t>file__pack.png
system4__pack.png</t>
  </si>
  <si>
    <t>黑字／白字，蓝色状态字；黑字／蓝字／白字</t>
  </si>
  <si>
    <t>粗黑体与窄体混排；部分带黑色描边；粗黑体；确认弹窗开关状态</t>
  </si>
  <si>
    <t>UI-0034</t>
  </si>
  <si>
    <t>データコピー</t>
  </si>
  <si>
    <t>UI-0035</t>
  </si>
  <si>
    <t>EXTRA BACK</t>
  </si>
  <si>
    <t>UI-0036</t>
  </si>
  <si>
    <t>EXTRA LOAD</t>
  </si>
  <si>
    <t>UI-0037</t>
  </si>
  <si>
    <t>SAVE</t>
  </si>
  <si>
    <t>UI-0038</t>
  </si>
  <si>
    <t>LOAD</t>
  </si>
  <si>
    <t>UI-0039</t>
  </si>
  <si>
    <t>NEW!</t>
  </si>
  <si>
    <t>UI-0040</t>
  </si>
  <si>
    <t>Q.LOAD</t>
  </si>
  <si>
    <t>UI-0041</t>
  </si>
  <si>
    <t>リストに登録</t>
  </si>
  <si>
    <t>file_voice__pack.png</t>
  </si>
  <si>
    <t>白字／浅蓝字</t>
  </si>
  <si>
    <t>按钮用粗黑体；标题带黑色描边</t>
  </si>
  <si>
    <t>UI-0042</t>
  </si>
  <si>
    <t>リストを削除</t>
  </si>
  <si>
    <t>UI-0043</t>
  </si>
  <si>
    <t>リストから削除</t>
  </si>
  <si>
    <t>UI-0044</t>
  </si>
  <si>
    <t>リストをロード</t>
  </si>
  <si>
    <t>UI-0045</t>
  </si>
  <si>
    <t>リストをセーブ</t>
  </si>
  <si>
    <t>UI-0046</t>
  </si>
  <si>
    <t>プレイリストの表示</t>
  </si>
  <si>
    <t>UI-0047</t>
  </si>
  <si>
    <t>EXTRA</t>
  </si>
  <si>
    <t>UI-0048</t>
  </si>
  <si>
    <t>ドラマチックモード ON/OFF</t>
  </si>
  <si>
    <t>gesture_tips__pack.png
system5__pack.png
system5_pulldown__pack.png
system6__pack.png</t>
  </si>
  <si>
    <t>黑字／蓝字／白字；深蓝字／黑字／白字；白字／浅蓝字</t>
  </si>
  <si>
    <t>粗黑体；按钮状态有描边；粗黑体；说明文字较小；粗黑体；蓝色菜单普通与悬停状态；粗黑体；含竖排或旋转图块</t>
  </si>
  <si>
    <t>UI-0049</t>
  </si>
  <si>
    <t>スクリーンショット保存</t>
  </si>
  <si>
    <t>UI-0050</t>
  </si>
  <si>
    <t>バックログ</t>
  </si>
  <si>
    <t>gesture_tips__pack.png
system5__pack.png
system5_pulldown__pack.png</t>
  </si>
  <si>
    <t>粗黑体；按钮状态有描边；粗黑体；说明文字较小；粗黑体；蓝色菜单普通与悬停状态</t>
  </si>
  <si>
    <t>UI-0051</t>
  </si>
  <si>
    <t>メッセージスキップ</t>
  </si>
  <si>
    <t>UI-0052</t>
  </si>
  <si>
    <t>ボイス再生</t>
  </si>
  <si>
    <t>已人工校正／坐标需复核；已人工校正；人工补录／坐标需复核</t>
  </si>
  <si>
    <t>UI-0053</t>
  </si>
  <si>
    <t>前の選択肢へ戻る</t>
  </si>
  <si>
    <t>gesture_tips__pack.png</t>
  </si>
  <si>
    <t>黑字／蓝字／白字</t>
  </si>
  <si>
    <t>粗黑体；按钮状态有描边</t>
  </si>
  <si>
    <t>UI-0054</t>
  </si>
  <si>
    <t>お気に入りボイス</t>
  </si>
  <si>
    <t>UI-0055</t>
  </si>
  <si>
    <t>シナリオチャート</t>
  </si>
  <si>
    <t>UI-0056</t>
  </si>
  <si>
    <t>ウィンドウ消去</t>
  </si>
  <si>
    <t>gesture_tips__pack.png
system5_pulldown__pack.png</t>
  </si>
  <si>
    <t>黑字／蓝字／白字；白字／浅蓝字</t>
  </si>
  <si>
    <t>粗黑体；按钮状态有描边；粗黑体；蓝色菜单普通与悬停状态</t>
  </si>
  <si>
    <t>UI-0057</t>
  </si>
  <si>
    <t>ゲームの最小化</t>
  </si>
  <si>
    <t>UI-0058</t>
  </si>
  <si>
    <t>タイトルに戻る</t>
  </si>
  <si>
    <t>gesture_tips__pack.png
system4__pack.png
system5_pulldown__pack.png</t>
  </si>
  <si>
    <t>粗黑体；按钮状态有描边；粗黑体；确认弹窗开关状态；粗黑体；蓝色菜单普通与悬停状态</t>
  </si>
  <si>
    <t>UI-0059</t>
  </si>
  <si>
    <t>クイックセーブ</t>
  </si>
  <si>
    <t>UI-0063</t>
  </si>
  <si>
    <t>メッセージ速度</t>
  </si>
  <si>
    <t>popup_system__bg0.png
system2__pack.png</t>
  </si>
  <si>
    <t>近黑色；黑字／蓝字／白字</t>
  </si>
  <si>
    <t>明朝体／衬线体；粗黑体；普通、悬停、启用、禁用状态</t>
  </si>
  <si>
    <t>UI-0064</t>
  </si>
  <si>
    <t>オートプレイ速度</t>
  </si>
  <si>
    <t>UI-0065</t>
  </si>
  <si>
    <t>ウィンドウ不透明度</t>
  </si>
  <si>
    <t>popup_system__bg0.png</t>
  </si>
  <si>
    <t>近黑色</t>
  </si>
  <si>
    <t>明朝体／衬线体</t>
  </si>
  <si>
    <t>UI-0066</t>
  </si>
  <si>
    <t>未読スキップ</t>
  </si>
  <si>
    <t>UI-0067</t>
  </si>
  <si>
    <t>既読のみ</t>
  </si>
  <si>
    <t>popup_system__pack.png
system2__pack.png</t>
  </si>
  <si>
    <t>黑字／蓝字；黑字／蓝字／白字</t>
  </si>
  <si>
    <t>粗黑体；普通与高亮状态；粗黑体；普通、悬停、启用、禁用状态</t>
  </si>
  <si>
    <t>UI-0068</t>
  </si>
  <si>
    <t>全文</t>
  </si>
  <si>
    <t>UI-0069</t>
  </si>
  <si>
    <t>マスター</t>
  </si>
  <si>
    <t>popup_volume__bg0.png
system3__pack.png</t>
  </si>
  <si>
    <t>明朝体／衬线体；粗黑体；人物名与开关状态混排</t>
  </si>
  <si>
    <t>UI-0070</t>
  </si>
  <si>
    <t>BGM</t>
  </si>
  <si>
    <t>UI-0071</t>
  </si>
  <si>
    <t>VOICE</t>
  </si>
  <si>
    <t>popup_volume__bg0.png</t>
  </si>
  <si>
    <t>UI-0072</t>
  </si>
  <si>
    <t>SE（ゲーム効果音）</t>
  </si>
  <si>
    <t>UI-0073</t>
  </si>
  <si>
    <t>画面サイズ</t>
  </si>
  <si>
    <t>system1__pack.png</t>
  </si>
  <si>
    <t>粗黑体；普通、悬停、启用、禁用状态</t>
  </si>
  <si>
    <t>UI-0074</t>
  </si>
  <si>
    <t>画面解像度</t>
  </si>
  <si>
    <t>UI-0075</t>
  </si>
  <si>
    <t>画面切り替え速度</t>
  </si>
  <si>
    <t>UI-0076</t>
  </si>
  <si>
    <t>画面を常に手前に表示</t>
  </si>
  <si>
    <t>UI-0077</t>
  </si>
  <si>
    <t>システムメニューポップアップ</t>
  </si>
  <si>
    <t>UI-0079</t>
  </si>
  <si>
    <t>マウスの設定</t>
  </si>
  <si>
    <t>UI-0080</t>
  </si>
  <si>
    <t>スナップショットの保存設定</t>
  </si>
  <si>
    <t>UI-0081</t>
  </si>
  <si>
    <t>日時ファイル名で保存</t>
  </si>
  <si>
    <t>UI-0082</t>
  </si>
  <si>
    <t>ファイル名を指定</t>
  </si>
  <si>
    <t>UI-0083</t>
  </si>
  <si>
    <t>フルスクリーン</t>
  </si>
  <si>
    <t>UI-0084</t>
  </si>
  <si>
    <t>ウィンドウ</t>
  </si>
  <si>
    <t>UI-0085</t>
  </si>
  <si>
    <t>1024×576</t>
  </si>
  <si>
    <t>符号／数字</t>
  </si>
  <si>
    <t>UI-0086</t>
  </si>
  <si>
    <t>1280×720</t>
  </si>
  <si>
    <t>UI-0087</t>
  </si>
  <si>
    <t>1600×900</t>
  </si>
  <si>
    <t>UI-0088</t>
  </si>
  <si>
    <t>1920×1080</t>
  </si>
  <si>
    <t>UI-0089</t>
  </si>
  <si>
    <t>右クリック</t>
  </si>
  <si>
    <t>UI-0090</t>
  </si>
  <si>
    <t>センターホイールクリック</t>
  </si>
  <si>
    <t>UI-0091</t>
  </si>
  <si>
    <t>メッセージウィンドウを消去</t>
  </si>
  <si>
    <t>UI-0092</t>
  </si>
  <si>
    <t>詳細設定</t>
  </si>
  <si>
    <t>UI-0093</t>
  </si>
  <si>
    <t>Type A</t>
  </si>
  <si>
    <t>UI-0094</t>
  </si>
  <si>
    <t>Type B</t>
  </si>
  <si>
    <t>UI-0097</t>
  </si>
  <si>
    <t>NoWait</t>
  </si>
  <si>
    <t>UI-0098</t>
  </si>
  <si>
    <t>×0.5</t>
  </si>
  <si>
    <t>UI-0099</t>
  </si>
  <si>
    <t>×2</t>
  </si>
  <si>
    <t>UI-0101</t>
  </si>
  <si>
    <t>既読メッセージの瞬間表示</t>
  </si>
  <si>
    <t>system2__pack.png</t>
  </si>
  <si>
    <t>UI-0103</t>
  </si>
  <si>
    <t>選択肢後メッセージスキップ</t>
  </si>
  <si>
    <t>UI-0104</t>
  </si>
  <si>
    <t>オートプレイ時ボイス完全再生</t>
  </si>
  <si>
    <t>UI-0105</t>
  </si>
  <si>
    <t>メッセージスキップ速度</t>
  </si>
  <si>
    <t>UI-0106</t>
  </si>
  <si>
    <t>メッセージスキップ設定</t>
  </si>
  <si>
    <t>UI-0107</t>
  </si>
  <si>
    <t>Ctrlスキップ設定</t>
  </si>
  <si>
    <t>UI-0108</t>
  </si>
  <si>
    <t>メッセージウィンドウ濃度</t>
  </si>
  <si>
    <t>UI-0109</t>
  </si>
  <si>
    <t>ドラマチックモード</t>
  </si>
  <si>
    <t>UI-0110</t>
  </si>
  <si>
    <t>外部音声ツール連動</t>
  </si>
  <si>
    <t>UI-0111</t>
  </si>
  <si>
    <t>サンプルテキスト</t>
  </si>
  <si>
    <t>UI-0114</t>
  </si>
  <si>
    <t>中断</t>
  </si>
  <si>
    <t>UI-0115</t>
  </si>
  <si>
    <t>継続</t>
  </si>
  <si>
    <t>UI-0120</t>
  </si>
  <si>
    <t>BGM（ボイス再生時）</t>
  </si>
  <si>
    <t>system3__pack.png</t>
  </si>
  <si>
    <t>粗黑体；人物名与开关状态混排</t>
  </si>
  <si>
    <t>UI-0122</t>
  </si>
  <si>
    <t>SE（システム効果音）</t>
  </si>
  <si>
    <t>UI-0123</t>
  </si>
  <si>
    <t>MOVIE</t>
  </si>
  <si>
    <t>UI-0124</t>
  </si>
  <si>
    <t>ボイスカット</t>
  </si>
  <si>
    <t>UI-0125</t>
  </si>
  <si>
    <t>BGMダウン</t>
  </si>
  <si>
    <t>UI-0126</t>
  </si>
  <si>
    <t>キャラクターボイス</t>
  </si>
  <si>
    <t>人工补录／坐标需复核</t>
  </si>
  <si>
    <t>UI-0127</t>
  </si>
  <si>
    <t>システムボイス</t>
  </si>
  <si>
    <t>UI-0128</t>
  </si>
  <si>
    <t>その他（女性）</t>
  </si>
  <si>
    <t>UI-0129</t>
  </si>
  <si>
    <t>その他（男性）</t>
  </si>
  <si>
    <t>UI-0130</t>
  </si>
  <si>
    <t>秋穂</t>
  </si>
  <si>
    <t>UI-0131</t>
  </si>
  <si>
    <t>絵利</t>
  </si>
  <si>
    <t>UI-0132</t>
  </si>
  <si>
    <t>春香</t>
  </si>
  <si>
    <t>UI-0133</t>
  </si>
  <si>
    <t>美世</t>
  </si>
  <si>
    <t>UI-0134</t>
  </si>
  <si>
    <t>風花</t>
  </si>
  <si>
    <t>UI-0135</t>
  </si>
  <si>
    <t>ALL</t>
  </si>
  <si>
    <t>UI-0138</t>
  </si>
  <si>
    <t>シーンジャンプ（バックログ）</t>
  </si>
  <si>
    <t>system4__pack.png</t>
  </si>
  <si>
    <t>粗黑体；确认弹窗开关状态</t>
  </si>
  <si>
    <t>UI-0139</t>
  </si>
  <si>
    <t>サスペンド復帰</t>
  </si>
  <si>
    <t>UI-0141</t>
  </si>
  <si>
    <t>データ削除</t>
  </si>
  <si>
    <t>UI-0145</t>
  </si>
  <si>
    <t>セーブ（上書き）</t>
  </si>
  <si>
    <t>UI-0148</t>
  </si>
  <si>
    <t>アドベンチャー画面で右クリックしながらマウスを上下左右に動かすことで、対応した機能が実行されます。</t>
  </si>
  <si>
    <t>system5__pack.png</t>
  </si>
  <si>
    <t>深蓝字／黑字／白字</t>
  </si>
  <si>
    <t>粗黑体；说明文字较小</t>
  </si>
  <si>
    <t>UI-0149</t>
  </si>
  <si>
    <t>プルダウンメニュー（▼）をクリックしてジェスチャーの項目を変更できます。</t>
  </si>
  <si>
    <t>UI-0150</t>
  </si>
  <si>
    <t>右クリック長押しで現在の設定を表示</t>
  </si>
  <si>
    <t>UI-0151</t>
  </si>
  <si>
    <t>右クリックジェスチャー</t>
  </si>
  <si>
    <t>UI-0152</t>
  </si>
  <si>
    <t>ジェスチャー機能</t>
  </si>
  <si>
    <t>UI-0160</t>
  </si>
  <si>
    <t>システムセーブロード無効</t>
  </si>
  <si>
    <t>UI-0163</t>
  </si>
  <si>
    <t>オートプレイ</t>
  </si>
  <si>
    <t>system5_pulldown__pack.png</t>
  </si>
  <si>
    <t>粗黑体；蓝色菜单普通与悬停状态</t>
  </si>
  <si>
    <t>UI-0165</t>
  </si>
  <si>
    <t>無効</t>
  </si>
  <si>
    <t>UI-0176</t>
  </si>
  <si>
    <t>システム</t>
  </si>
  <si>
    <t>system5_pulldown__pack.png
system6_pulldown__pack.png</t>
  </si>
  <si>
    <t>人工补录／坐标需复核；已人工校正</t>
  </si>
  <si>
    <t>UI-0179</t>
  </si>
  <si>
    <t>プルダウンメニュー（▼）をクリックしてショートカットの項目を変更できます。</t>
  </si>
  <si>
    <t>system6__pack.png</t>
  </si>
  <si>
    <t>粗黑体；含竖排或旋转图块</t>
  </si>
  <si>
    <t>UI-0180</t>
  </si>
  <si>
    <t>メッセージの進行／選択肢の決定</t>
  </si>
  <si>
    <t>UI-0182</t>
  </si>
  <si>
    <t>メッセージの強制スキップ</t>
  </si>
  <si>
    <t>UI-0183</t>
  </si>
  <si>
    <t>キーボード入力 ON/OFF</t>
  </si>
  <si>
    <t>system6__pack.png
system6_pulldown__pack.png</t>
  </si>
  <si>
    <t>粗黑体；含竖排或旋转图块；粗黑体；蓝色菜单普通与悬停状态</t>
  </si>
  <si>
    <t>UI-0184</t>
  </si>
  <si>
    <t>ウィンドウサイズの変更</t>
  </si>
  <si>
    <t>UI-0185</t>
  </si>
  <si>
    <t>バックログ時に下移動</t>
  </si>
  <si>
    <t>UI-0187</t>
  </si>
  <si>
    <t>マウスの右クリック</t>
  </si>
  <si>
    <t>UI-0189</t>
  </si>
  <si>
    <t>固定ショートカット</t>
  </si>
  <si>
    <t>UI-0190</t>
  </si>
  <si>
    <t>Space</t>
  </si>
  <si>
    <t>UI-0191</t>
  </si>
  <si>
    <t>Ctrl</t>
  </si>
  <si>
    <t>UI-0192</t>
  </si>
  <si>
    <t>Page Down</t>
  </si>
  <si>
    <t>UI-0193</t>
  </si>
  <si>
    <t>ESC</t>
  </si>
  <si>
    <t>UI-0194</t>
  </si>
  <si>
    <t>Enter</t>
  </si>
  <si>
    <t>UI-0195</t>
  </si>
  <si>
    <t>ゲーム終了</t>
  </si>
  <si>
    <t>system6_pulldown__pack.png</t>
  </si>
  <si>
    <t>UI-0199</t>
  </si>
  <si>
    <t>© 2026 Shiratamaco All Rights Reserved.</t>
  </si>
  <si>
    <t>title_bg_2.png</t>
  </si>
  <si>
    <t>白色</t>
  </si>
  <si>
    <t>小号版权字；通常保留原文</t>
  </si>
  <si>
    <t>UI-0202</t>
  </si>
  <si>
    <t>体験版</t>
  </si>
  <si>
    <t>title_bg_6.png</t>
  </si>
  <si>
    <t>白色、淡粉描边</t>
  </si>
  <si>
    <t>装饰性粗体；需单独美术重制</t>
  </si>
  <si>
    <t>按来源图片保留坐标、候选色值和状态数量；中文译文自动引用“翻译清单”。</t>
  </si>
  <si>
    <t>文件名</t>
  </si>
  <si>
    <t>中文译文（自动）</t>
  </si>
  <si>
    <t>变体数</t>
  </si>
  <si>
    <t>X</t>
  </si>
  <si>
    <t>Y</t>
  </si>
  <si>
    <t>宽</t>
  </si>
  <si>
    <t>高</t>
  </si>
  <si>
    <t>估计字号(px)</t>
  </si>
  <si>
    <t>文字色说明</t>
  </si>
  <si>
    <t>OCR置信度</t>
  </si>
  <si>
    <t>匹配分数</t>
  </si>
  <si>
    <t>#304070 / #F0F0F0</t>
  </si>
  <si>
    <t>#304070 / #4080D0 / #F0F0F0 / #000000</t>
  </si>
  <si>
    <t>#F0F0F0</t>
  </si>
  <si>
    <t>#F0F0F0 / #5070B0 / #5060A0 / #E0E0E0</t>
  </si>
  <si>
    <t>#F0F0F0 / #4080D0 / #E0E0E0 / #D0D0D0</t>
  </si>
  <si>
    <t>#F0F0F0 / #4080D0 / #000000 / #4070C0</t>
  </si>
  <si>
    <t>#F0F0F0 / #000000</t>
  </si>
  <si>
    <t>#F0F0F0 / #D0D0E0</t>
  </si>
  <si>
    <t>#000000</t>
  </si>
  <si>
    <t>#4080D0 / #F0F0F0 / #000000</t>
  </si>
  <si>
    <t>#D0D0E0 / #405080 / #C0C0E0 / #7080A0</t>
  </si>
  <si>
    <t>#D0D0E0 / #405080 / #7080A0 / #B0B0D0</t>
  </si>
  <si>
    <t>#D0D0E0 / #405080 / #7080A0 / #90A0C0</t>
  </si>
  <si>
    <t>#C0C0D0 / #90A0C0 / #A0A0C0 / #B0C0D0</t>
  </si>
  <si>
    <t>#C0C0D0 / #606080 / #707090 / #8080A0</t>
  </si>
  <si>
    <t>#B0C0D0 / #9090B0 / #90A0B0 / #A0B0C0</t>
  </si>
  <si>
    <t>#F0F0F0 / #000000 / #B0C0D0 / #E0E0E0</t>
  </si>
  <si>
    <t>#4080D0</t>
  </si>
  <si>
    <t>#F0F0F0 / #000000 / #E0E0E0 / #D0D0D0</t>
  </si>
  <si>
    <t>#F0F0F0 / #000000 / #40A0D0 / #E0E0E0</t>
  </si>
  <si>
    <t>#40A0D0 / #F0F0F0 / #50C0F0</t>
  </si>
  <si>
    <t>#40A0D0 / #F0F0F0</t>
  </si>
  <si>
    <t>#F0F0F0 / #40A0D0 / #50C0F0</t>
  </si>
  <si>
    <t>#F0F0F0 / #40A0D0</t>
  </si>
  <si>
    <t>#5090F0 / #F0F0F0 / #D0E0F0 / #40A0F0</t>
  </si>
  <si>
    <t>#40A0D0 / #F0F0F0 / #5090F0 / #40A0F0</t>
  </si>
  <si>
    <t>#F0F0F0 / #40A0D0 / #60B0E0 / #E0F0F0</t>
  </si>
  <si>
    <t>#4080D0 / #F0F0F0 / #80A0E0 / #E0F0F0</t>
  </si>
  <si>
    <t>#4080D0 / #F0F0F0 / #80A0E0 / #A0B0E0</t>
  </si>
  <si>
    <t>#40A0D0 / #F0F0F0 / #80B0E0 / #60B0E0</t>
  </si>
  <si>
    <t>#F0F0F0 / #40A0D0 / #B0D0F0 / #D0E0F0</t>
  </si>
  <si>
    <t>#F0F0F0 / #000000 / #90A0B0 / #E0E0E0</t>
  </si>
  <si>
    <t>popup_quick__bg0.png</t>
  </si>
  <si>
    <t>多色标题、浅灰副标题</t>
  </si>
  <si>
    <t>#D0E0F0 / #E0F0F0 / #E0E0F0 / #C0D0E0</t>
  </si>
  <si>
    <t>装饰性标题字；品牌图形</t>
  </si>
  <si>
    <t>#D0E0F0 / #A0B0C0 / #B0C0D0 / #C0D0E0</t>
  </si>
  <si>
    <t>#D0D0E0 / #000000 / #606070 / #909090</t>
  </si>
  <si>
    <t>#D0D0E0 / #000000 / #404050 / #A0A0B0</t>
  </si>
  <si>
    <t>#D0D0E0 / #000000 / #A0A0B0 / #303030</t>
  </si>
  <si>
    <t>#D0D0E0 / #000000 / #404050 / #606070</t>
  </si>
  <si>
    <t>popup_system__pack.png</t>
  </si>
  <si>
    <t>黑字／蓝字</t>
  </si>
  <si>
    <t>粗黑体；普通与高亮状态</t>
  </si>
  <si>
    <t>#000000 / #5070B0 / #4080D0 / #305080</t>
  </si>
  <si>
    <t>#D0D0E0 / #000000 / #A0A0B0 / #C0D0E0</t>
  </si>
  <si>
    <t>#D0D0E0 / #000000 / #404050 / #808090</t>
  </si>
  <si>
    <t>#D0D0E0 / #000000 / #B0B0C0 / #505060</t>
  </si>
  <si>
    <t>#F0F0F0 / #4080D0 / #000000 / #E0E0E0</t>
  </si>
  <si>
    <t>#F0F0F0 / #000000 / #5070B0 / #5060A0</t>
  </si>
  <si>
    <t>#F0F0F0 / #000000 / #5070B0 / #E0E0E0</t>
  </si>
  <si>
    <t>#000000 / #F0F0F0 / #E0E0E0 / #D0D0D0</t>
  </si>
  <si>
    <t>#000000 / #F0F0F0</t>
  </si>
  <si>
    <t>#4080D0 / #F0F0F0 / #000000 / #E0E0E0</t>
  </si>
  <si>
    <t>#4080D0 / #F0F0F0</t>
  </si>
  <si>
    <t>#4080D0 / #000000 / #F0F0F0</t>
  </si>
  <si>
    <t>#000000 / #F0F0F0 / #4080D0</t>
  </si>
  <si>
    <t>#000000 / #4080D0 / #F0F0F0</t>
  </si>
  <si>
    <t>#F0F0F0 / #000000 / #4080D0 / #E0E0E0</t>
  </si>
  <si>
    <t>#F0F0F0 / #5070B0 / #5060A0 / #D0D0E0</t>
  </si>
  <si>
    <t>#F0F0F0 / #A0A0A0 / #A0C0F0 / #6090E0</t>
  </si>
  <si>
    <t>#F0F0F0 / #A0A0C0</t>
  </si>
  <si>
    <t>#F0F0F0 / #000000 / #E0E0E0 / #4060A0</t>
  </si>
  <si>
    <t>#F0F0F0 / #A0A0C0 / #B0B0B0 / #B0A0B0</t>
  </si>
  <si>
    <t>#F0F0F0 / #A0A0C0 / #C0B0B0 / #B0A0B0</t>
  </si>
  <si>
    <t>#F0F0F0 / #9090A0 / #A0A0C0</t>
  </si>
  <si>
    <t>#F0F0F0 / #A0A0C0 / #505060 / #D0D0D0</t>
  </si>
  <si>
    <t>#304070 / #D0D0E0 / #E0D0E0 / #F0F0F0</t>
  </si>
  <si>
    <t>#304070</t>
  </si>
  <si>
    <t>#304070 / #000000 / #F0F0F0 / #405080</t>
  </si>
  <si>
    <t>#000000 / #F0F0F0 / #50C0F0 / #A0E0F0</t>
  </si>
  <si>
    <t>#F0F0F0 / #4080D0 / #B0C0F0 / #C0D0F0</t>
  </si>
  <si>
    <t>#40A0D0 / #F0F0F0 / #C0E0F0 / #60B0E0</t>
  </si>
  <si>
    <t>#40A0D0 / #F0F0F0 / #B0D0F0 / #90C0E0</t>
  </si>
  <si>
    <t>#40A0D0 / #F0F0F0 / #50A0E0 / #60B0E0</t>
  </si>
  <si>
    <t>#4080D0 / #F0F0F0 / #5080E0 / #B0C0F0</t>
  </si>
  <si>
    <t>#40A0D0 / #F0F0F0 / #A0D0E0 / #C0E0F0</t>
  </si>
  <si>
    <t>#F0F0F0 / #4080D0 / #A0C0E0 / #90B0E0</t>
  </si>
  <si>
    <t>#40A0D0 / #F0F0F0 / #50A0E0 / #A0D0E0</t>
  </si>
  <si>
    <t>#40A0D0 / #F0F0F0 / #50A0E0 / #E0E0F0</t>
  </si>
  <si>
    <t>#40A0D0 / #F0F0F0 / #A0D0E0 / #60B0E0</t>
  </si>
  <si>
    <t>#4080D0 / #F0F0F0 / #A0C0E0 / #C0D0F0</t>
  </si>
  <si>
    <t>#40A0D0 / #F0F0F0 / #A0D0E0 / #50A0E0</t>
  </si>
  <si>
    <t>#F0F0F0 / #90B0E0 / #304070 / #000000</t>
  </si>
  <si>
    <t>#304070 / #000000 / #F0F0F0 / #90B0E0</t>
  </si>
  <si>
    <t>#000000 / #304070 / #F0F0F0</t>
  </si>
  <si>
    <t>#000000 / #304070</t>
  </si>
  <si>
    <t>#90B0E0 / #F0F0F0 / #D0E0F0 / #B0D0E0</t>
  </si>
  <si>
    <t>#90B0E0 / #F0F0F0 / #B0D0E0 / #D0E0F0</t>
  </si>
  <si>
    <t>#90B0E0 / #F0F0F0 / #D0E0F0 / #C0D0E0</t>
  </si>
  <si>
    <t>#4080D0 / #F0F0F0 / #5080E0 / #C0D0F0</t>
  </si>
  <si>
    <t>#4080D0 / #F0F0F0 / #5080E0 / #6090E0</t>
  </si>
  <si>
    <t>#40A0D0 / #F0F0F0 / #E0E0F0 / #A0D0E0</t>
  </si>
  <si>
    <t>#F0F0F0 / #000000 / #90B0D0 / #A0B0E0</t>
  </si>
  <si>
    <t>title_bg_5.png</t>
  </si>
  <si>
    <t>粉、蓝、灰多色</t>
  </si>
  <si>
    <t>#F0F0F0 / #C0C0E0 / #B0C0E0 / #E0E0E0</t>
  </si>
  <si>
    <t>手写／装饰标题字；需单独美术重制</t>
  </si>
  <si>
    <t>#F0F0F0 / #302050 / #E0E0E0 / #E0E0F0</t>
  </si>
  <si>
    <t>#203060 / #F0F0F0 / #607090 / #90A0B0</t>
  </si>
  <si>
    <t>OCR 原始明细（查漏用）</t>
  </si>
  <si>
    <t>机器识别未经人工逐条纠错；相邻图块可能被拼接，不要直接把本页当作翻译原文。</t>
  </si>
  <si>
    <t>OCR ID</t>
  </si>
  <si>
    <t>机器识别文本</t>
  </si>
  <si>
    <t>置信度</t>
  </si>
  <si>
    <t>方向</t>
  </si>
  <si>
    <t>识别底色</t>
  </si>
  <si>
    <t>状态</t>
  </si>
  <si>
    <t>OCR-0001</t>
  </si>
  <si>
    <t>V</t>
  </si>
  <si>
    <t>横排</t>
  </si>
  <si>
    <t>#C0C0E0 / #7080B0 / #7080C0 / #8090C0</t>
  </si>
  <si>
    <t>亮底</t>
  </si>
  <si>
    <t>需复核</t>
  </si>
  <si>
    <t>OCR-0002</t>
  </si>
  <si>
    <t>K</t>
  </si>
  <si>
    <t>#C0C0E0 / #6080B0 / #7090C0 / #7080C0</t>
  </si>
  <si>
    <t>暗底</t>
  </si>
  <si>
    <t>OCR-0003</t>
  </si>
  <si>
    <t>原始识别</t>
  </si>
  <si>
    <t>OCR-0004</t>
  </si>
  <si>
    <t>システム設定画面でいつでも再設定が可能です。YESYESNO</t>
  </si>
  <si>
    <t>OCR-0005</t>
  </si>
  <si>
    <t>データを入れ替えをしますか?0次回から表示しない0F日</t>
  </si>
  <si>
    <t>#F0F0F0 / #4080D0 / #304070 / #5070B0</t>
  </si>
  <si>
    <t>OCR-0006</t>
  </si>
  <si>
    <t>OFFON</t>
  </si>
  <si>
    <t>OCR-0007</t>
  </si>
  <si>
    <t>前回の続きから始めますか?</t>
  </si>
  <si>
    <t>OCR-0008</t>
  </si>
  <si>
    <t>OCR-0009</t>
  </si>
  <si>
    <t>OCR-0010</t>
  </si>
  <si>
    <t>OCR-0011</t>
  </si>
  <si>
    <t>OCR-0012</t>
  </si>
  <si>
    <t>OCR-0013</t>
  </si>
  <si>
    <t>OCR-0014</t>
  </si>
  <si>
    <t>ヤンプしますか？</t>
  </si>
  <si>
    <t>OCR-0015</t>
  </si>
  <si>
    <t>OCR-0016</t>
  </si>
  <si>
    <t>OCR-0017</t>
  </si>
  <si>
    <t>OCR-0018</t>
  </si>
  <si>
    <t>OCR-0019</t>
  </si>
  <si>
    <t>セープしますか？</t>
  </si>
  <si>
    <t>OCR-0020</t>
  </si>
  <si>
    <t>OCR-0021</t>
  </si>
  <si>
    <t>OCR-0022</t>
  </si>
  <si>
    <t>OCR-0023</t>
  </si>
  <si>
    <t>OCR-0024</t>
  </si>
  <si>
    <t>()</t>
  </si>
  <si>
    <t>#40A0D0 / #F0F0F0 / #D0E0F0 / #60B0E0</t>
  </si>
  <si>
    <t>OCR-0025</t>
  </si>
  <si>
    <t>1</t>
  </si>
  <si>
    <t>#40A0D0 / #F0F0F0 / #60B0E0 / #E0F0F0</t>
  </si>
  <si>
    <t>OCR-0026</t>
  </si>
  <si>
    <t>(1</t>
  </si>
  <si>
    <t>#40A0D0 / #F0F0F0 / #E0F0F0 / #70B0E0</t>
  </si>
  <si>
    <t>OCR-0027</t>
  </si>
  <si>
    <t>#4080D0 / #F0F0F0 / #6090E0 / #D0E0F0</t>
  </si>
  <si>
    <t>OCR-0028</t>
  </si>
  <si>
    <t>#4080D0 / #F0F0F0 / #70A0E0 / #6090E0</t>
  </si>
  <si>
    <t>OCR-0029</t>
  </si>
  <si>
    <t>集</t>
  </si>
  <si>
    <t>OCR-0030</t>
  </si>
  <si>
    <t>OCR-0031</t>
  </si>
  <si>
    <t>编编</t>
  </si>
  <si>
    <t>OCR-0032</t>
  </si>
  <si>
    <t>人</t>
  </si>
  <si>
    <t>OCR-0033</t>
  </si>
  <si>
    <t>L</t>
  </si>
  <si>
    <t>OCR-0034</t>
  </si>
  <si>
    <t>メメ</t>
  </si>
  <si>
    <t>OCR-0035</t>
  </si>
  <si>
    <t>AAデ</t>
  </si>
  <si>
    <t>#40A0D0 / #F0F0F0 / #9070B0</t>
  </si>
  <si>
    <t>OCR-0036</t>
  </si>
  <si>
    <t>OCR-0037</t>
  </si>
  <si>
    <t>OCR-0038</t>
  </si>
  <si>
    <t>OCR-0039</t>
  </si>
  <si>
    <t>-847</t>
  </si>
  <si>
    <t>#C0C0D0 / #B0C0D0 / #90A0C0 / #A0A0C0</t>
  </si>
  <si>
    <t>OCR-0040</t>
  </si>
  <si>
    <t>風</t>
  </si>
  <si>
    <t>OCR-0041</t>
  </si>
  <si>
    <t>と白うさぎ</t>
  </si>
  <si>
    <t>#C0C0D0 / #B0C0D0 / #303060 / #B0B0C0</t>
  </si>
  <si>
    <t>OCR-0042</t>
  </si>
  <si>
    <t>と1ける</t>
  </si>
  <si>
    <t>#C0C0D0 / #B0C0D0 / #303060 / #A0A0C0</t>
  </si>
  <si>
    <t>OCR-0043</t>
  </si>
  <si>
    <t>と1け3</t>
  </si>
  <si>
    <t>OCR-0044</t>
  </si>
  <si>
    <t>T*</t>
  </si>
  <si>
    <t>#C0C0D0 / #B0C0D0 / #A0A0C0 / #B0B0D0</t>
  </si>
  <si>
    <t>OCR-0045</t>
  </si>
  <si>
    <t>+〇++0</t>
  </si>
  <si>
    <t>竖排/旋转</t>
  </si>
  <si>
    <t>#F0F0F0 / #40A0D0 / #F00000 / #50C0F0</t>
  </si>
  <si>
    <t>OCR-0046</t>
  </si>
  <si>
    <t>TOKERUFUUKATOSHIROUSAGI</t>
  </si>
  <si>
    <t>OCR-0047</t>
  </si>
  <si>
    <t>+</t>
  </si>
  <si>
    <t>#40A0D0 / #F0F0F0 / #000000 / #D0E0F0</t>
  </si>
  <si>
    <t>OCR-0048</t>
  </si>
  <si>
    <t>+NoData+</t>
  </si>
  <si>
    <t>OCR-0049</t>
  </si>
  <si>
    <t>OCR-0050</t>
  </si>
  <si>
    <t>OCR-0051</t>
  </si>
  <si>
    <t>OCR-0052</t>
  </si>
  <si>
    <t>チャブターとコメントを表示</t>
  </si>
  <si>
    <t>OCR-0053</t>
  </si>
  <si>
    <t>OCR-0054</t>
  </si>
  <si>
    <t>VV</t>
  </si>
  <si>
    <t>#F0F0F0 / #4080D0 / #50C0F0 / #E0F0F0</t>
  </si>
  <si>
    <t>OCR-0055</t>
  </si>
  <si>
    <t>DV</t>
  </si>
  <si>
    <t>OCR-0056</t>
  </si>
  <si>
    <t>OCR-0057</t>
  </si>
  <si>
    <t>ド</t>
  </si>
  <si>
    <t>#F0F0F0 / #000000 / #E0E0E0 / #C0C0C0</t>
  </si>
  <si>
    <t>OCR-0058</t>
  </si>
  <si>
    <t>#F0F0F0 / #F00000</t>
  </si>
  <si>
    <t>OCR-0059</t>
  </si>
  <si>
    <t>OCR-0060</t>
  </si>
  <si>
    <t>OCR-0061</t>
  </si>
  <si>
    <t>OCR-0062</t>
  </si>
  <si>
    <t>OCR-0063</t>
  </si>
  <si>
    <t>EDITポタンのホールド</t>
  </si>
  <si>
    <t>OCR-0064</t>
  </si>
  <si>
    <t>#F0F0F0 / #8080B0 / #9070B0 / #8070B0</t>
  </si>
  <si>
    <t>OCR-0065</t>
  </si>
  <si>
    <t>外</t>
  </si>
  <si>
    <t>#40A0D0</t>
  </si>
  <si>
    <t>OCR-0066</t>
  </si>
  <si>
    <t>OCR-0067</t>
  </si>
  <si>
    <t>OCR-0068</t>
  </si>
  <si>
    <t>一夕入れ替え</t>
  </si>
  <si>
    <t>OCR-0069</t>
  </si>
  <si>
    <t>元</t>
  </si>
  <si>
    <t>OCR-0070</t>
  </si>
  <si>
    <t>EXTRABACKLOAD</t>
  </si>
  <si>
    <t>OCR-0071</t>
  </si>
  <si>
    <t>一タ入れ替え</t>
  </si>
  <si>
    <t>#F0F0F0 / #40A0D0 / #5090F0 / #30E0F0</t>
  </si>
  <si>
    <t>OCR-0072</t>
  </si>
  <si>
    <t>夕入れ替え</t>
  </si>
  <si>
    <t>#F0F0F0 / #40A0D0 / #30E0F0 / #40C0F0</t>
  </si>
  <si>
    <t>OCR-0073</t>
  </si>
  <si>
    <t>EXTRABACKSAVE</t>
  </si>
  <si>
    <t>OCR-0074</t>
  </si>
  <si>
    <t>7</t>
  </si>
  <si>
    <t>OCR-0075</t>
  </si>
  <si>
    <t>デデ</t>
  </si>
  <si>
    <t>#40A0D0 / #F0F0F0 / #000000 / #4080D0</t>
  </si>
  <si>
    <t>OCR-0076</t>
  </si>
  <si>
    <t>OCR-0077</t>
  </si>
  <si>
    <t>OCR-0078</t>
  </si>
  <si>
    <t>LOADSAVE</t>
  </si>
  <si>
    <t>OCR-0079</t>
  </si>
  <si>
    <t>Q.LOADNEW!</t>
  </si>
  <si>
    <t>OCR-0080</t>
  </si>
  <si>
    <t>#4080D0 / #F0F0F0 / #E0F0F0 / #C0D0F0</t>
  </si>
  <si>
    <t>OCR-0081</t>
  </si>
  <si>
    <t>リストを削降</t>
  </si>
  <si>
    <t>#40A0D0 / #F0F0F0 / #80B0E0 / #E0F0F0</t>
  </si>
  <si>
    <t>OCR-0082</t>
  </si>
  <si>
    <t>#F0F0F0 / #40A0D0 / #D0E0F0 / #60B0E0</t>
  </si>
  <si>
    <t>OCR-0083</t>
  </si>
  <si>
    <t>OCR-0084</t>
  </si>
  <si>
    <t>三</t>
  </si>
  <si>
    <t>#40A0D0 / #F0F0F0 / #50A0E0 / #C0E0F0</t>
  </si>
  <si>
    <t>OCR-0085</t>
  </si>
  <si>
    <t>三川</t>
  </si>
  <si>
    <t>#F0F0F0 / #50C0F0 / #E0F0F0 / #70D0F0</t>
  </si>
  <si>
    <t>OCR-0086</t>
  </si>
  <si>
    <t>リストから削降</t>
  </si>
  <si>
    <t>#40A0D0 / #F0F0F0 / #80B0E0 / #A0C0E0</t>
  </si>
  <si>
    <t>OCR-0087</t>
  </si>
  <si>
    <t>#F0F0F0 / #40A0D0 / #D0E0F0 / #C0D0F0</t>
  </si>
  <si>
    <t>OCR-0088</t>
  </si>
  <si>
    <t>#4080D0 / #F0F0F0 / #5080E0 / #5090E0</t>
  </si>
  <si>
    <t>OCR-0089</t>
  </si>
  <si>
    <t>OCR-0090</t>
  </si>
  <si>
    <t>OCR-0091</t>
  </si>
  <si>
    <t>#F0F0F0 / #40A0D0 / #D0E0F0 / #E0F0F0</t>
  </si>
  <si>
    <t>OCR-0092</t>
  </si>
  <si>
    <t>#4080D0 / #F0F0F0 / #80A0E0 / #6090E0</t>
  </si>
  <si>
    <t>OCR-0093</t>
  </si>
  <si>
    <t>#40A0D0 / #F0F0F0 / #C0E0F0 / #B0D0F0</t>
  </si>
  <si>
    <t>OCR-0094</t>
  </si>
  <si>
    <t>#40A0D0 / #F0F0F0 / #A0D0E0 / #80B0E0</t>
  </si>
  <si>
    <t>OCR-0095</t>
  </si>
  <si>
    <t>OCR-0096</t>
  </si>
  <si>
    <t>#40A0D0 / #F0F0F0 / #D0E0F0 / #E0F0F0</t>
  </si>
  <si>
    <t>OCR-0097</t>
  </si>
  <si>
    <t>#4080D0 / #F0F0F0 / #D0E0F0 / #6090E0</t>
  </si>
  <si>
    <t>OCR-0098</t>
  </si>
  <si>
    <t>1三</t>
  </si>
  <si>
    <t>OCR-0099</t>
  </si>
  <si>
    <t>#F0F0F0 / #50C0F0 / #70D0F0 / #E0F0F0</t>
  </si>
  <si>
    <t>OCR-0100</t>
  </si>
  <si>
    <t>OCR-0101</t>
  </si>
  <si>
    <t>OCR-0102</t>
  </si>
  <si>
    <t>#4080D0 / #90A0B0 / #B0C0C0</t>
  </si>
  <si>
    <t>OCR-0103</t>
  </si>
  <si>
    <t>リストをセープ</t>
  </si>
  <si>
    <t>#4080D0 / #F0F0F0 / #C0D0F0 / #A0C0E0</t>
  </si>
  <si>
    <t>OCR-0104</t>
  </si>
  <si>
    <t>十l</t>
  </si>
  <si>
    <t>OCR-0105</t>
  </si>
  <si>
    <t>OCR-0106</t>
  </si>
  <si>
    <t>OCR-0107</t>
  </si>
  <si>
    <t>m</t>
  </si>
  <si>
    <t>#4080D0 / #F0F0F0 / #70D0F0 / #90B0E0</t>
  </si>
  <si>
    <t>OCR-0108</t>
  </si>
  <si>
    <t>#40A0D0 / #F0F0F0 / #E0F0F0 / #60B0E0</t>
  </si>
  <si>
    <t>OCR-0109</t>
  </si>
  <si>
    <t>OCR-0110</t>
  </si>
  <si>
    <t>OCR-0111</t>
  </si>
  <si>
    <t>ドラマチックモードON/OFF</t>
  </si>
  <si>
    <t>OCR-0112</t>
  </si>
  <si>
    <t>スクリーンショット保存バックログ</t>
  </si>
  <si>
    <t>OCR-0113</t>
  </si>
  <si>
    <t>メッセージスキップンーボイス再生</t>
  </si>
  <si>
    <t>OCR-0114</t>
  </si>
  <si>
    <t>OCR-0115</t>
  </si>
  <si>
    <t>OCR-0116</t>
  </si>
  <si>
    <t>湖才市一上</t>
  </si>
  <si>
    <t>#000000 / #F0F0F0 / #909090 / #D0D0D0</t>
  </si>
  <si>
    <t>OCR-0117</t>
  </si>
  <si>
    <t>OCR-0118</t>
  </si>
  <si>
    <t>ムプド</t>
  </si>
  <si>
    <t>OCR-0119</t>
  </si>
  <si>
    <t>ッ</t>
  </si>
  <si>
    <t>OCR-0120</t>
  </si>
  <si>
    <t>OCR-0121</t>
  </si>
  <si>
    <t>元二二</t>
  </si>
  <si>
    <t>#000000 / #F0F0F0 / #D0D0D0 / #909090</t>
  </si>
  <si>
    <t>OCR-0122</t>
  </si>
  <si>
    <t>OCR-0123</t>
  </si>
  <si>
    <t>OCR-0124</t>
  </si>
  <si>
    <t>#F07090 / #000000</t>
  </si>
  <si>
    <t>OCR-0125</t>
  </si>
  <si>
    <t>OCR-0126</t>
  </si>
  <si>
    <t>OCR-0127</t>
  </si>
  <si>
    <t>といける風花と白うさぎ</t>
  </si>
  <si>
    <t>OCR-0128</t>
  </si>
  <si>
    <t>とける風花と白うさぎ</t>
  </si>
  <si>
    <t>OCR-0129</t>
  </si>
  <si>
    <t>NoData</t>
  </si>
  <si>
    <t>OCR-0130</t>
  </si>
  <si>
    <t>OCR-0131</t>
  </si>
  <si>
    <t>OCR-0132</t>
  </si>
  <si>
    <t>ウインドウ不透明度</t>
  </si>
  <si>
    <t>OCR-0133</t>
  </si>
  <si>
    <t>OCR-0134</t>
  </si>
  <si>
    <t>OCR-0135</t>
  </si>
  <si>
    <t>#4080D0 / #000000 / #B0B0B0 / #C0C0C0</t>
  </si>
  <si>
    <t>OCR-0136</t>
  </si>
  <si>
    <t>既</t>
  </si>
  <si>
    <t>#4080D0 / #000000</t>
  </si>
  <si>
    <t>OCR-0137</t>
  </si>
  <si>
    <t>読のみ</t>
  </si>
  <si>
    <t>OCR-0138</t>
  </si>
  <si>
    <t>#000000 / #4080D0 / #F0F0F0 / #305080</t>
  </si>
  <si>
    <t>OCR-0139</t>
  </si>
  <si>
    <t>のみ</t>
  </si>
  <si>
    <t>#000000 / #4080D0</t>
  </si>
  <si>
    <t>OCR-0140</t>
  </si>
  <si>
    <t>OCR-0141</t>
  </si>
  <si>
    <t>#F0F0F0 / #4080D0 / #5080E0 / #6090E0</t>
  </si>
  <si>
    <t>OCR-0142</t>
  </si>
  <si>
    <t>OCR-0143</t>
  </si>
  <si>
    <t>0</t>
  </si>
  <si>
    <t>OCR-0144</t>
  </si>
  <si>
    <t>OCR-0145</t>
  </si>
  <si>
    <t>OCR-0146</t>
  </si>
  <si>
    <t>OCR-0147</t>
  </si>
  <si>
    <t>SE(ゲーム効果音)</t>
  </si>
  <si>
    <t>OCR-0148</t>
  </si>
  <si>
    <t>ONx0.5x2</t>
  </si>
  <si>
    <t>OCR-0149</t>
  </si>
  <si>
    <t>システムメニューポップアップロ</t>
  </si>
  <si>
    <t>OCR-0150</t>
  </si>
  <si>
    <t>OCR-0151</t>
  </si>
  <si>
    <t>OCR-0152</t>
  </si>
  <si>
    <t>1600X900</t>
  </si>
  <si>
    <t>OCR-0153</t>
  </si>
  <si>
    <t>OCR-0154</t>
  </si>
  <si>
    <t>OCR-0155</t>
  </si>
  <si>
    <t>OCR-0156</t>
  </si>
  <si>
    <t>画面を常に手前に表示し1280×720</t>
  </si>
  <si>
    <t>OCR-0157</t>
  </si>
  <si>
    <t>OCR-0158</t>
  </si>
  <si>
    <t>#000000 / #F0F0F0 / #4080D0 / #E0E0E0</t>
  </si>
  <si>
    <t>OCR-0159</t>
  </si>
  <si>
    <t>ファイル名を指定ファイル名を指定</t>
  </si>
  <si>
    <t>#4080D0 / #000000 / #F0F0F0 / #E0E0E0</t>
  </si>
  <si>
    <t>OCR-0160</t>
  </si>
  <si>
    <t>OCR-0161</t>
  </si>
  <si>
    <t>日時フアイル名で保存1920x1080</t>
  </si>
  <si>
    <t>#000000 / #4080D0 / #F0F0F0 / #E0E0E0</t>
  </si>
  <si>
    <t>OCR-0162</t>
  </si>
  <si>
    <t>OCR-0163</t>
  </si>
  <si>
    <t>画面切り替え速度メッセージウィンドウを消去</t>
  </si>
  <si>
    <t>OCR-0164</t>
  </si>
  <si>
    <t>OCR-0165</t>
  </si>
  <si>
    <t>X7</t>
  </si>
  <si>
    <t>OCR-0166</t>
  </si>
  <si>
    <t>右ボタンクリック</t>
  </si>
  <si>
    <t>OCR-0167</t>
  </si>
  <si>
    <t>X1</t>
  </si>
  <si>
    <t>OCR-0168</t>
  </si>
  <si>
    <t>#000000 / #5070B0 / #5060A0 / #F0F0F0</t>
  </si>
  <si>
    <t>OCR-0169</t>
  </si>
  <si>
    <t>OCR-0170</t>
  </si>
  <si>
    <t>OCR-0171</t>
  </si>
  <si>
    <t>OCR-0172</t>
  </si>
  <si>
    <t>OCR-0173</t>
  </si>
  <si>
    <t>マウスオーバーロTypeB</t>
  </si>
  <si>
    <t>#000000 / #4080D0 / #F0F0F0 / #B0C0E0</t>
  </si>
  <si>
    <t>OCR-0174</t>
  </si>
  <si>
    <t>マウスオーバー0</t>
  </si>
  <si>
    <t>#000000 / #F0F0F0 / #4080D0 / #B0C0E0</t>
  </si>
  <si>
    <t>OCR-0175</t>
  </si>
  <si>
    <t>TypeB</t>
  </si>
  <si>
    <t>OCR-0176</t>
  </si>
  <si>
    <t>#000000 / #F0F0F0 / #5070B0 / #4080D0</t>
  </si>
  <si>
    <t>OCR-0177</t>
  </si>
  <si>
    <t>マウスオーバー</t>
  </si>
  <si>
    <t>#000000 / #F0F0F0 / #5070B0 / #5060A0</t>
  </si>
  <si>
    <t>OCR-0178</t>
  </si>
  <si>
    <t>右クリック右クリック</t>
  </si>
  <si>
    <t>OCR-0179</t>
  </si>
  <si>
    <t>OCR-0180</t>
  </si>
  <si>
    <t>OCR-0181</t>
  </si>
  <si>
    <t>マウスオーバ</t>
  </si>
  <si>
    <t>OCR-0182</t>
  </si>
  <si>
    <t>OCR-0183</t>
  </si>
  <si>
    <t>フルスクリーンTypeA</t>
  </si>
  <si>
    <t>#000000 / #F0F0F0 / #4080D0 / #5070B0</t>
  </si>
  <si>
    <t>OCR-0184</t>
  </si>
  <si>
    <t>フルスクリーンロTypeA</t>
  </si>
  <si>
    <t>OCR-0185</t>
  </si>
  <si>
    <t>定</t>
  </si>
  <si>
    <t>OCR-0186</t>
  </si>
  <si>
    <t>能</t>
  </si>
  <si>
    <t>OCR-0187</t>
  </si>
  <si>
    <t>8</t>
  </si>
  <si>
    <t>OCR-0188</t>
  </si>
  <si>
    <t>OCR-0189</t>
  </si>
  <si>
    <t>ウインドウウインドウ</t>
  </si>
  <si>
    <t>#4080D0 / #000000 / #F0F0F0 / #5070B0</t>
  </si>
  <si>
    <t>OCR-0190</t>
  </si>
  <si>
    <t>ウスの設定画面解像度</t>
  </si>
  <si>
    <t>OCR-0191</t>
  </si>
  <si>
    <t>ロ右クリック</t>
  </si>
  <si>
    <t>OCR-0192</t>
  </si>
  <si>
    <t>OCR-0193</t>
  </si>
  <si>
    <t>OCR-0194</t>
  </si>
  <si>
    <t>ロウインドウ</t>
  </si>
  <si>
    <t>OCR-0195</t>
  </si>
  <si>
    <t>ウインドウ</t>
  </si>
  <si>
    <t>OCR-0196</t>
  </si>
  <si>
    <t>OCR-0197</t>
  </si>
  <si>
    <t>OCR-0198</t>
  </si>
  <si>
    <t>OCR-0199</t>
  </si>
  <si>
    <t>OCR-0200</t>
  </si>
  <si>
    <t>TypeA</t>
  </si>
  <si>
    <t>OCR-0201</t>
  </si>
  <si>
    <t>#000000 / #F0F0F0 / #103070 / #5070B0</t>
  </si>
  <si>
    <t>OCR-0202</t>
  </si>
  <si>
    <t>ONTypeA</t>
  </si>
  <si>
    <t>#103070 / #000000</t>
  </si>
  <si>
    <t>OCR-0203</t>
  </si>
  <si>
    <t>OCR-0204</t>
  </si>
  <si>
    <t>#103070 / #000000 / #F0F0F0</t>
  </si>
  <si>
    <t>OCR-0205</t>
  </si>
  <si>
    <t>OCR-0206</t>
  </si>
  <si>
    <t>OCR-0207</t>
  </si>
  <si>
    <t>OOFF</t>
  </si>
  <si>
    <t>#000000 / #F0F0F0 / #103070</t>
  </si>
  <si>
    <t>OCR-0208</t>
  </si>
  <si>
    <t>#000000 / #103070</t>
  </si>
  <si>
    <t>OCR-0209</t>
  </si>
  <si>
    <t>OCR-0210</t>
  </si>
  <si>
    <t>ONNoWait</t>
  </si>
  <si>
    <t>OCR-0211</t>
  </si>
  <si>
    <t>OCR-0212</t>
  </si>
  <si>
    <t>選択肢後メッセージスキップON</t>
  </si>
  <si>
    <t>OCR-0213</t>
  </si>
  <si>
    <t>OCR-0214</t>
  </si>
  <si>
    <t>既読メッセージの瞬間表示ロ中断</t>
  </si>
  <si>
    <t>OCR-0215</t>
  </si>
  <si>
    <t>メッセージウィンドウ濃度0全文</t>
  </si>
  <si>
    <t>OCR-0216</t>
  </si>
  <si>
    <t>メッセージスキップ速度0全文</t>
  </si>
  <si>
    <t>OCR-0217</t>
  </si>
  <si>
    <t>メッセージスキップ設定ロ継続</t>
  </si>
  <si>
    <t>OCR-0218</t>
  </si>
  <si>
    <t>OCR-0219</t>
  </si>
  <si>
    <t>OCR-0220</t>
  </si>
  <si>
    <t>OCR-0221</t>
  </si>
  <si>
    <t>OCR-0222</t>
  </si>
  <si>
    <t>OCR-0223</t>
  </si>
  <si>
    <t>CtrIスキップ設定</t>
  </si>
  <si>
    <t>OCR-0224</t>
  </si>
  <si>
    <t>OCR-0225</t>
  </si>
  <si>
    <t>#000000 / #5070B0 / #5060A0 / #5060B0</t>
  </si>
  <si>
    <t>OCR-0226</t>
  </si>
  <si>
    <t>OCR-0227</t>
  </si>
  <si>
    <t>继続</t>
  </si>
  <si>
    <t>#4080D0 / #5070B0 / #5060A0 / #406090</t>
  </si>
  <si>
    <t>OCR-0228</t>
  </si>
  <si>
    <t>OCR-0229</t>
  </si>
  <si>
    <t>OCR-0230</t>
  </si>
  <si>
    <t>#4080D0 / #5070B0 / #5060A0 / #5060B0</t>
  </si>
  <si>
    <t>OCR-0231</t>
  </si>
  <si>
    <t>OCR-0232</t>
  </si>
  <si>
    <t>OCR-0233</t>
  </si>
  <si>
    <t>OCR-0234</t>
  </si>
  <si>
    <t>OCR-0235</t>
  </si>
  <si>
    <t>#4080D0 / #F0F0F0 / #E0E0E0</t>
  </si>
  <si>
    <t>OCR-0236</t>
  </si>
  <si>
    <t>OCR-0237</t>
  </si>
  <si>
    <t>OCR-0238</t>
  </si>
  <si>
    <t>#000000 / #F0F0F0 / #E0E0E0</t>
  </si>
  <si>
    <t>OCR-0239</t>
  </si>
  <si>
    <t>OCR-0240</t>
  </si>
  <si>
    <t>OCR-0241</t>
  </si>
  <si>
    <t>MATUDA</t>
  </si>
  <si>
    <t>#A0A0A0 / #505060 / #606070 / #404050</t>
  </si>
  <si>
    <t>OCR-0242</t>
  </si>
  <si>
    <t>qawa</t>
  </si>
  <si>
    <t>#808090 / #D0B080 / #9090A0 / #D0B070</t>
  </si>
  <si>
    <t>OCR-0243</t>
  </si>
  <si>
    <t>ボイスカットマスタ</t>
  </si>
  <si>
    <t>OCR-0244</t>
  </si>
  <si>
    <t>OCR-0245</t>
  </si>
  <si>
    <t>OCR-0246</t>
  </si>
  <si>
    <t>OCR-0247</t>
  </si>
  <si>
    <t>乃良</t>
  </si>
  <si>
    <t>#F0F0F0 / #4080D0 / #000000</t>
  </si>
  <si>
    <t>OCR-0248</t>
  </si>
  <si>
    <t>(男性)</t>
  </si>
  <si>
    <t>OCR-0249</t>
  </si>
  <si>
    <t>その他(男性)</t>
  </si>
  <si>
    <t>OCR-0250</t>
  </si>
  <si>
    <t>OCR-0251</t>
  </si>
  <si>
    <t>秋穗</t>
  </si>
  <si>
    <t>OCR-0252</t>
  </si>
  <si>
    <t>OCR-0253</t>
  </si>
  <si>
    <t>OCR-0254</t>
  </si>
  <si>
    <t>OCR-0255</t>
  </si>
  <si>
    <t>音時</t>
  </si>
  <si>
    <t>#F0F0F0 / #D0D0D0</t>
  </si>
  <si>
    <t>OCR-0256</t>
  </si>
  <si>
    <t>OCR-0257</t>
  </si>
  <si>
    <t>音</t>
  </si>
  <si>
    <t>OCR-0258</t>
  </si>
  <si>
    <t>大生</t>
  </si>
  <si>
    <t>OCR-0259</t>
  </si>
  <si>
    <t>果</t>
  </si>
  <si>
    <t>OCR-0260</t>
  </si>
  <si>
    <t>效</t>
  </si>
  <si>
    <t>OCR-0261</t>
  </si>
  <si>
    <t>OCR-0262</t>
  </si>
  <si>
    <t>OCR-0263</t>
  </si>
  <si>
    <t>OCR-0264</t>
  </si>
  <si>
    <t>OCR-0265</t>
  </si>
  <si>
    <t>力</t>
  </si>
  <si>
    <t>OCR-0266</t>
  </si>
  <si>
    <t>風花X</t>
  </si>
  <si>
    <t>OCR-0267</t>
  </si>
  <si>
    <t>美世絵利</t>
  </si>
  <si>
    <t>OCR-0268</t>
  </si>
  <si>
    <t>国花X</t>
  </si>
  <si>
    <t>OCR-0269</t>
  </si>
  <si>
    <t>×</t>
  </si>
  <si>
    <t>#4080D0 / #F0F0F0 / #B09090 / #D0E0F0</t>
  </si>
  <si>
    <t>OCR-0270</t>
  </si>
  <si>
    <t>GM</t>
  </si>
  <si>
    <t>OCR-0271</t>
  </si>
  <si>
    <t>ノーンジャンプ(バックログ</t>
  </si>
  <si>
    <t>OCR-0272</t>
  </si>
  <si>
    <t>サスペンド復帰ー</t>
  </si>
  <si>
    <t>OCR-0273</t>
  </si>
  <si>
    <t>F</t>
  </si>
  <si>
    <t>OCR-0274</t>
  </si>
  <si>
    <t>OCR-0275</t>
  </si>
  <si>
    <t>OCR-0276</t>
  </si>
  <si>
    <t>OCR-0277</t>
  </si>
  <si>
    <t>上削終</t>
  </si>
  <si>
    <t>OCR-0278</t>
  </si>
  <si>
    <t>ピ削终</t>
  </si>
  <si>
    <t>OCR-0279</t>
  </si>
  <si>
    <t>OCR-0280</t>
  </si>
  <si>
    <t>O</t>
  </si>
  <si>
    <t>OCR-0281</t>
  </si>
  <si>
    <t>OCR-0282</t>
  </si>
  <si>
    <t>OCR-0283</t>
  </si>
  <si>
    <t>クク</t>
  </si>
  <si>
    <t>OCR-0284</t>
  </si>
  <si>
    <t>OCR-0285</t>
  </si>
  <si>
    <t>コタ</t>
  </si>
  <si>
    <t>OCR-0286</t>
  </si>
  <si>
    <t>勺</t>
  </si>
  <si>
    <t>OCR-0287</t>
  </si>
  <si>
    <t>クィックロード</t>
  </si>
  <si>
    <t>OCR-0288</t>
  </si>
  <si>
    <t>OCR-0289</t>
  </si>
  <si>
    <t>一</t>
  </si>
  <si>
    <t>OCR-0290</t>
  </si>
  <si>
    <t>イトルに戻る</t>
  </si>
  <si>
    <t>OCR-0291</t>
  </si>
  <si>
    <t>OCR-0292</t>
  </si>
  <si>
    <t>OCR-0293</t>
  </si>
  <si>
    <t>OCR-0294</t>
  </si>
  <si>
    <t>ーデ</t>
  </si>
  <si>
    <t>OCR-0295</t>
  </si>
  <si>
    <t>#F0F0F0 / #4080D0 / #D0D0D0 / #E0E0E0</t>
  </si>
  <si>
    <t>OCR-0296</t>
  </si>
  <si>
    <t>セーブ(上書き)</t>
  </si>
  <si>
    <t>OCR-0297</t>
  </si>
  <si>
    <t>OCR-0298</t>
  </si>
  <si>
    <t>アドベンチャー画面で右クリックしながらマウスを上下左右に</t>
  </si>
  <si>
    <t>OCR-0299</t>
  </si>
  <si>
    <t>OCR-0300</t>
  </si>
  <si>
    <t>右クリックジェスチャ</t>
  </si>
  <si>
    <t>OCR-0301</t>
  </si>
  <si>
    <t>動かすことで、対応した機能が実行されます。</t>
  </si>
  <si>
    <t>OCR-0302</t>
  </si>
  <si>
    <t>ジェスチャー機能を…</t>
  </si>
  <si>
    <t>OCR-0303</t>
  </si>
  <si>
    <t>る去プドF「</t>
  </si>
  <si>
    <t>OCR-0304</t>
  </si>
  <si>
    <t>消-FF</t>
  </si>
  <si>
    <t>OCR-0305</t>
  </si>
  <si>
    <t>侯消一-FF</t>
  </si>
  <si>
    <t>OCR-0306</t>
  </si>
  <si>
    <t>プルダウンメニュー(マ)をクリックしてジェスチャーの項目をドラマチックモードON/OFF</t>
  </si>
  <si>
    <t>OCR-0307</t>
  </si>
  <si>
    <t>にセ00プ</t>
  </si>
  <si>
    <t>OCR-0308</t>
  </si>
  <si>
    <t>OCR-0309</t>
  </si>
  <si>
    <t>OCR-0310</t>
  </si>
  <si>
    <t>スクリーンショット保存ロ</t>
  </si>
  <si>
    <t>OCR-0311</t>
  </si>
  <si>
    <t>変更できます。</t>
  </si>
  <si>
    <t>OCR-0312</t>
  </si>
  <si>
    <t>OCR-0313</t>
  </si>
  <si>
    <t>OCR-0314</t>
  </si>
  <si>
    <t>ク長押しで現在の設定を表示</t>
  </si>
  <si>
    <t>OCR-0315</t>
  </si>
  <si>
    <t>OCR-0316</t>
  </si>
  <si>
    <t>OCR-0317</t>
  </si>
  <si>
    <t>バックログONシステムセープロード無効</t>
  </si>
  <si>
    <t>#000000 / #F0F0F0 / #50C0F0</t>
  </si>
  <si>
    <t>OCR-0318</t>
  </si>
  <si>
    <t>ONシステムセーブロード無効</t>
  </si>
  <si>
    <t>OCR-0319</t>
  </si>
  <si>
    <t>OCR-0320</t>
  </si>
  <si>
    <t>OCR-0321</t>
  </si>
  <si>
    <t>OCR-0322</t>
  </si>
  <si>
    <t>#40A0D0 / #F0F0F0 / #A0D0E0 / #90C0E0</t>
  </si>
  <si>
    <t>OCR-0323</t>
  </si>
  <si>
    <t>OCR-0324</t>
  </si>
  <si>
    <t>#4080D0 / #F0F0F0 / #A0C0E0 / #90B0E0</t>
  </si>
  <si>
    <t>OCR-0325</t>
  </si>
  <si>
    <t>OCR-0326</t>
  </si>
  <si>
    <t>#F0F0F0 / #4080D0 / #90B0E0 / #E0F0F0</t>
  </si>
  <si>
    <t>OCR-0327</t>
  </si>
  <si>
    <t>#4080D0 / #F0F0F0 / #C0D0F0 / #6090E0</t>
  </si>
  <si>
    <t>OCR-0328</t>
  </si>
  <si>
    <t>OCR-0329</t>
  </si>
  <si>
    <t>#F0F0F0 / #4080D0 / #C0D0F0 / #A0C0E0</t>
  </si>
  <si>
    <t>OCR-0330</t>
  </si>
  <si>
    <t>#4080D0 / #F0F0F0 / #C0D0F0 / #B0C0F0</t>
  </si>
  <si>
    <t>OCR-0331</t>
  </si>
  <si>
    <t>OCR-0332</t>
  </si>
  <si>
    <t>#F0F0F0 / #4080D0 / #E0F0F0 / #C0D0F0</t>
  </si>
  <si>
    <t>OCR-0333</t>
  </si>
  <si>
    <t>OCR-0334</t>
  </si>
  <si>
    <t>#F0F0F0 / #4080D0 / #A0C0E0 / #E0F0F0</t>
  </si>
  <si>
    <t>OCR-0335</t>
  </si>
  <si>
    <t>#40A0D0 / #F0F0F0 / #50A0E0 / #B0D0F0</t>
  </si>
  <si>
    <t>OCR-0336</t>
  </si>
  <si>
    <t>OCR-0337</t>
  </si>
  <si>
    <t>OCR-0338</t>
  </si>
  <si>
    <t>OCR-0339</t>
  </si>
  <si>
    <t>#F0F0F0 / #4080D0 / #C0D0F0 / #B0C0F0</t>
  </si>
  <si>
    <t>OCR-0340</t>
  </si>
  <si>
    <t>#40A0D0 / #F0F0F0 / #B0D0F0 / #C0E0F0</t>
  </si>
  <si>
    <t>OCR-0341</t>
  </si>
  <si>
    <t>OCR-0342</t>
  </si>
  <si>
    <t>#4080D0 / #F0F0F0 / #B0C0F0 / #C0D0F0</t>
  </si>
  <si>
    <t>OCR-0343</t>
  </si>
  <si>
    <t>OCR-0344</t>
  </si>
  <si>
    <t>OCR-0345</t>
  </si>
  <si>
    <t>#4080D0 / #F0F0F0 / #5080E0 / #A0C0E0</t>
  </si>
  <si>
    <t>OCR-0346</t>
  </si>
  <si>
    <t>OCR-0347</t>
  </si>
  <si>
    <t>OCR-0348</t>
  </si>
  <si>
    <t>OCR-0349</t>
  </si>
  <si>
    <t>OCR-0350</t>
  </si>
  <si>
    <t>OCR-0351</t>
  </si>
  <si>
    <t>#F0F0F0 / #4080D0 / #70A0E0 / #C0D0F0</t>
  </si>
  <si>
    <t>OCR-0352</t>
  </si>
  <si>
    <t>#F0F0F0 / #4080D0 / #B0C0F0 / #E0F0F0</t>
  </si>
  <si>
    <t>OCR-0353</t>
  </si>
  <si>
    <t>人民一小EY</t>
  </si>
  <si>
    <t>#4080D0 / #F0F0F0 / #5080E0 / #E0E0F0</t>
  </si>
  <si>
    <t>OCR-0354</t>
  </si>
  <si>
    <t>人小个司</t>
  </si>
  <si>
    <t>OCR-0355</t>
  </si>
  <si>
    <t>OCR-0356</t>
  </si>
  <si>
    <t>安车M2Y</t>
  </si>
  <si>
    <t>#40A0D0 / #F0F0F0 / #B0D0F0 / #60B0E0</t>
  </si>
  <si>
    <t>OCR-0357</t>
  </si>
  <si>
    <t>分车2里</t>
  </si>
  <si>
    <t>OCR-0358</t>
  </si>
  <si>
    <t>分车HM2Y</t>
  </si>
  <si>
    <t>OCR-0359</t>
  </si>
  <si>
    <t>安房2</t>
  </si>
  <si>
    <t>#F0F0F0 / #4080D0 / #A0C0E0 / #C0D0F0</t>
  </si>
  <si>
    <t>OCR-0360</t>
  </si>
  <si>
    <t>明房2</t>
  </si>
  <si>
    <t>OCR-0361</t>
  </si>
  <si>
    <t>安车个MM2Y</t>
  </si>
  <si>
    <t>OCR-0362</t>
  </si>
  <si>
    <t>OCR-0363</t>
  </si>
  <si>
    <t>里全人</t>
  </si>
  <si>
    <t>#40A0D0 / #F0F0F0 / #C0E0F0 / #90C0E0</t>
  </si>
  <si>
    <t>OCR-0364</t>
  </si>
  <si>
    <t>市子全人人</t>
  </si>
  <si>
    <t>#F0F0F0 / #4080D0 / #40A0D0 / #90B0E0</t>
  </si>
  <si>
    <t>OCR-0365</t>
  </si>
  <si>
    <t>子全</t>
  </si>
  <si>
    <t>#F0F0F0 / #4080D0 / #90B0E0 / #C0D0F0</t>
  </si>
  <si>
    <t>OCR-0366</t>
  </si>
  <si>
    <t>本全人人</t>
  </si>
  <si>
    <t>OCR-0367</t>
  </si>
  <si>
    <t>市全人人</t>
  </si>
  <si>
    <t>#4080D0 / #F0F0F0 / #C0D0F0 / #90B0E0</t>
  </si>
  <si>
    <t>OCR-0368</t>
  </si>
  <si>
    <t>ワ</t>
  </si>
  <si>
    <t>OCR-0369</t>
  </si>
  <si>
    <t>#4080D0 / #F0F0F0 / #C0D0F0 / #E0E0F0</t>
  </si>
  <si>
    <t>OCR-0370</t>
  </si>
  <si>
    <t>OCR-0371</t>
  </si>
  <si>
    <t>OCR-0372</t>
  </si>
  <si>
    <t>OCR-0373</t>
  </si>
  <si>
    <t>OCR-0374</t>
  </si>
  <si>
    <t>OCR-0375</t>
  </si>
  <si>
    <t>メッセージの進行/選択肢の決定クイックロード</t>
  </si>
  <si>
    <t>OCR-0376</t>
  </si>
  <si>
    <t>ドラマチックモードON/OFFNスーNO</t>
  </si>
  <si>
    <t>OCR-0377</t>
  </si>
  <si>
    <t>品一</t>
  </si>
  <si>
    <t>#90B0E0 / #F0F0F0 / #A0C0E0 / #C0D0E0</t>
  </si>
  <si>
    <t>OCR-0378</t>
  </si>
  <si>
    <t>ドラマチックモードON/OFFトスト</t>
  </si>
  <si>
    <t>OCR-0379</t>
  </si>
  <si>
    <t>OCR-0380</t>
  </si>
  <si>
    <t>OCR-0381</t>
  </si>
  <si>
    <t>戻消イ小侯</t>
  </si>
  <si>
    <t>OCR-0382</t>
  </si>
  <si>
    <t>小房一</t>
  </si>
  <si>
    <t>OCR-0383</t>
  </si>
  <si>
    <t>OCR-0384</t>
  </si>
  <si>
    <t>メッセージの強制スキッブ</t>
  </si>
  <si>
    <t>OCR-0385</t>
  </si>
  <si>
    <t>agown</t>
  </si>
  <si>
    <t>OCR-0386</t>
  </si>
  <si>
    <t>Pageon</t>
  </si>
  <si>
    <t>OCR-0387</t>
  </si>
  <si>
    <t>里一1型</t>
  </si>
  <si>
    <t>#304070 / #90B0E0 / #000000 / #F0F0F0</t>
  </si>
  <si>
    <t>OCR-0388</t>
  </si>
  <si>
    <t>ボャー</t>
  </si>
  <si>
    <t>OCR-0389</t>
  </si>
  <si>
    <t>有2济市</t>
  </si>
  <si>
    <t>OCR-0390</t>
  </si>
  <si>
    <t>古一里一1型</t>
  </si>
  <si>
    <t>OCR-0391</t>
  </si>
  <si>
    <t>イ生グ了ム</t>
  </si>
  <si>
    <t>OCR-0392</t>
  </si>
  <si>
    <t>くの</t>
  </si>
  <si>
    <t>#304070 / #000000</t>
  </si>
  <si>
    <t>OCR-0393</t>
  </si>
  <si>
    <t>房局价机</t>
  </si>
  <si>
    <t>OCR-0394</t>
  </si>
  <si>
    <t>OYYG</t>
  </si>
  <si>
    <t>OCR-0395</t>
  </si>
  <si>
    <t>キーポード入カON/OFF</t>
  </si>
  <si>
    <t>OCR-0396</t>
  </si>
  <si>
    <t>七</t>
  </si>
  <si>
    <t>OCR-0397</t>
  </si>
  <si>
    <t>キーボード入カON/OFF</t>
  </si>
  <si>
    <t>OCR-0398</t>
  </si>
  <si>
    <t>OCR-0399</t>
  </si>
  <si>
    <t>nter</t>
  </si>
  <si>
    <t>OCR-0400</t>
  </si>
  <si>
    <t>OCR-0401</t>
  </si>
  <si>
    <t>OCR-0402</t>
  </si>
  <si>
    <t>□終テ</t>
  </si>
  <si>
    <t>OCR-0403</t>
  </si>
  <si>
    <t>办Y</t>
  </si>
  <si>
    <t>#000000 / #90B0E0</t>
  </si>
  <si>
    <t>OCR-0404</t>
  </si>
  <si>
    <t>ル再</t>
  </si>
  <si>
    <t>OCR-0405</t>
  </si>
  <si>
    <t>終</t>
  </si>
  <si>
    <t>OCR-0406</t>
  </si>
  <si>
    <t>质房居金价市</t>
  </si>
  <si>
    <t>OCR-0407</t>
  </si>
  <si>
    <t>107-</t>
  </si>
  <si>
    <t>OCR-0408</t>
  </si>
  <si>
    <t>GYGYG</t>
  </si>
  <si>
    <t>OCR-0409</t>
  </si>
  <si>
    <t>ウインドウサイズの変更</t>
  </si>
  <si>
    <t>OCR-0410</t>
  </si>
  <si>
    <t>LY-1</t>
  </si>
  <si>
    <t>OCR-0411</t>
  </si>
  <si>
    <t>クムズ</t>
  </si>
  <si>
    <t>OCR-0412</t>
  </si>
  <si>
    <t>OCR-0413</t>
  </si>
  <si>
    <t>i)</t>
  </si>
  <si>
    <t>OCR-0414</t>
  </si>
  <si>
    <t>OCR-0415</t>
  </si>
  <si>
    <t>一口</t>
  </si>
  <si>
    <t>#000000 / #F0F0F0 / #50C0F0 / #90B0E0</t>
  </si>
  <si>
    <t>OCR-0416</t>
  </si>
  <si>
    <t>ボバ</t>
  </si>
  <si>
    <t>OCR-0417</t>
  </si>
  <si>
    <t>八</t>
  </si>
  <si>
    <t>OCR-0418</t>
  </si>
  <si>
    <t>OCR-0419</t>
  </si>
  <si>
    <t>メッセージスキッブ</t>
  </si>
  <si>
    <t>OCR-0420</t>
  </si>
  <si>
    <t>OCR-0421</t>
  </si>
  <si>
    <t>OCR-0422</t>
  </si>
  <si>
    <t>OCR-0423</t>
  </si>
  <si>
    <t>£7</t>
  </si>
  <si>
    <t>OCR-0424</t>
  </si>
  <si>
    <t>£ワ一</t>
  </si>
  <si>
    <t>OCR-0425</t>
  </si>
  <si>
    <t>∑ワ一</t>
  </si>
  <si>
    <t>#F0F0F0 / #4080D0 / #E0F0F0 / #B0C0F0</t>
  </si>
  <si>
    <t>OCR-0426</t>
  </si>
  <si>
    <t>OCR-0427</t>
  </si>
  <si>
    <t>OCR-0428</t>
  </si>
  <si>
    <t>OCR-0429</t>
  </si>
  <si>
    <t>OCR-0430</t>
  </si>
  <si>
    <t>ゲ</t>
  </si>
  <si>
    <t>#F0F0F0 / #4080D0 / #B0C0F0 / #5080E0</t>
  </si>
  <si>
    <t>OCR-0431</t>
  </si>
  <si>
    <t>OCR-0432</t>
  </si>
  <si>
    <t>OCR-0433</t>
  </si>
  <si>
    <t>OCR-0434</t>
  </si>
  <si>
    <t>*</t>
  </si>
  <si>
    <t>#F0F0F0 / #F0F0E0 / #E0E0F0 / #F0E0E0</t>
  </si>
  <si>
    <t>OCR-0435</t>
  </si>
  <si>
    <t>#F0F0F0 / #F0F0E0 / #E0F0D0 / #F0E0F0</t>
  </si>
  <si>
    <t>OCR-0436</t>
  </si>
  <si>
    <t>米</t>
  </si>
  <si>
    <t>#F0F0F0 / #F0F0E0 / #E0E0D0 / #E0E0E0</t>
  </si>
  <si>
    <t>OCR-0437</t>
  </si>
  <si>
    <t>©2026ShiratamacoAllRightsReserved.</t>
  </si>
  <si>
    <t>OCR-0438</t>
  </si>
  <si>
    <t>OCR-0439</t>
  </si>
  <si>
    <t>OCR-0440</t>
  </si>
  <si>
    <t>#F0F0F0 / #302050 / #E0E0E0 / #D0C0E0</t>
  </si>
  <si>
    <t>OCR-0441</t>
  </si>
  <si>
    <t>OCR-0442</t>
  </si>
  <si>
    <t>体験版Y</t>
  </si>
  <si>
    <t>OCR-0443</t>
  </si>
  <si>
    <t>uipsd PNG 图片清单</t>
  </si>
  <si>
    <t>52 张图片的尺寸、扫描状态、文本条目数和来源路径。</t>
  </si>
  <si>
    <t>类别</t>
  </si>
  <si>
    <t>尺寸</t>
  </si>
  <si>
    <t>透明通道</t>
  </si>
  <si>
    <t>扫描状态</t>
  </si>
  <si>
    <t>整理条目数</t>
  </si>
  <si>
    <t>OCR框数</t>
  </si>
  <si>
    <t>相对路径</t>
  </si>
  <si>
    <t>SHA-256</t>
  </si>
  <si>
    <t>backlog__bg0.png</t>
  </si>
  <si>
    <t>背景</t>
  </si>
  <si>
    <t>1920 × 1080</t>
  </si>
  <si>
    <t>有</t>
  </si>
  <si>
    <t>extracted/_tlg_png/uipsd/backlog__bg0.png</t>
  </si>
  <si>
    <t>9dc388d13c7f50c7dd9a015d9df70ff7515388eeff2d2a45b1a8592b0dd13e4b</t>
  </si>
  <si>
    <t>backlog__pack.png</t>
  </si>
  <si>
    <t>图集</t>
  </si>
  <si>
    <t>1380 × 104</t>
  </si>
  <si>
    <t>检测为已修改中文图集；本轮不重复翻译。</t>
  </si>
  <si>
    <t>extracted/_tlg_png/uipsd/backlog__pack.png</t>
  </si>
  <si>
    <t>31861f8e86e16b66a17ac328571f3593c478863c93aade787299f1c4884df183</t>
  </si>
  <si>
    <t>dialog__bg0.png</t>
  </si>
  <si>
    <t>extracted/_tlg_png/uipsd/dialog__bg0.png</t>
  </si>
  <si>
    <t>dca62b75765310366670b331aa45072f98548e69d6b5c01454a21eb8fc3a71b6</t>
  </si>
  <si>
    <t>813 × 831</t>
  </si>
  <si>
    <t>extracted/_tlg_png/uipsd/dialog__pack.png</t>
  </si>
  <si>
    <t>c14d629aa0fe235c0bab4676fc9fbfb4190c539ec33f934fae565b8e64e8f790</t>
  </si>
  <si>
    <t>1099 × 1089</t>
  </si>
  <si>
    <t>extracted/_tlg_png/uipsd/file__pack.png</t>
  </si>
  <si>
    <t>c6ad9c07d11ef91c46b06ce1182d48adc08306a6becc8dc0af31bd03fd8f6143</t>
  </si>
  <si>
    <t>file_load__bg0.png</t>
  </si>
  <si>
    <t>无</t>
  </si>
  <si>
    <t>extracted/_tlg_png/uipsd/file_load__bg0.png</t>
  </si>
  <si>
    <t>5b1ae7eaa619118f5c1b502c67f714c477da3d8abbf4b66b06c46252530082dd</t>
  </si>
  <si>
    <t>file_quick__bg0.png</t>
  </si>
  <si>
    <t>extracted/_tlg_png/uipsd/file_quick__bg0.png</t>
  </si>
  <si>
    <t>370a27feb0b8064ae8a004d1af6c5fa090145caef595dec30c518c430e967411</t>
  </si>
  <si>
    <t>file_save__bg0.png</t>
  </si>
  <si>
    <t>extracted/_tlg_png/uipsd/file_save__bg0.png</t>
  </si>
  <si>
    <t>ec936fd49121f4c9004d0e6ba95d4485884f5554e5f3b8cc93e730b33ca9f58c</t>
  </si>
  <si>
    <t>file_voice__bg0.png</t>
  </si>
  <si>
    <t>extracted/_tlg_png/uipsd/file_voice__bg0.png</t>
  </si>
  <si>
    <t>0b693e27b385d138e7ada05f3300ff68625f08e674fcec4b3d11643a1e63f7b4</t>
  </si>
  <si>
    <t>780 × 821</t>
  </si>
  <si>
    <t>extracted/_tlg_png/uipsd/file_voice__pack.png</t>
  </si>
  <si>
    <t>45d231fa9701881d6da21bf70b0eb43214279ac5712e7213bca1179baa1730e3</t>
  </si>
  <si>
    <t>gesture_tips__bg0.png</t>
  </si>
  <si>
    <t>56 × 80</t>
  </si>
  <si>
    <t>extracted/_tlg_png/uipsd/gesture_tips__bg0.png</t>
  </si>
  <si>
    <t>7b9d27c9510c26820432d4faf1590b4a719eb522128bb3bb616e4a3ebd906d06</t>
  </si>
  <si>
    <t>312 × 241</t>
  </si>
  <si>
    <t>extracted/_tlg_png/uipsd/gesture_tips__pack.png</t>
  </si>
  <si>
    <t>d926dd6302abf6ae57b5aa255e42c2516f480adfb7f758f3ed863fb7597201c2</t>
  </si>
  <si>
    <t>gview__pack.png</t>
  </si>
  <si>
    <t>168 × 660</t>
  </si>
  <si>
    <t>extracted/_tlg_png/uipsd/gview__pack.png</t>
  </si>
  <si>
    <t>c2eb198f908de709129b96524329bbec71090507b722504413097b2212b99ac4</t>
  </si>
  <si>
    <t>message__bg0.png</t>
  </si>
  <si>
    <t>1920 × 334</t>
  </si>
  <si>
    <t>extracted/_tlg_png/uipsd/message__bg0.png</t>
  </si>
  <si>
    <t>722bef430c2950146b0e27edbc5558bbe605c6a187ebfa0c9777f30e27ab8507</t>
  </si>
  <si>
    <t>message__bg1.png</t>
  </si>
  <si>
    <t>1021 × 62</t>
  </si>
  <si>
    <t>extracted/_tlg_png/uipsd/message__bg1.png</t>
  </si>
  <si>
    <t>79801278e6a7ffa1dff1bab3771687a522deef9eb465a8fcf6920706fa6c5579</t>
  </si>
  <si>
    <t>message__pack.png</t>
  </si>
  <si>
    <t>554 × 335</t>
  </si>
  <si>
    <t>extracted/_tlg_png/uipsd/message__pack.png</t>
  </si>
  <si>
    <t>bc17fc35bf8a7b19e25a44983d91b02303f9f5477d03bb95d6704ca64532fc27</t>
  </si>
  <si>
    <t>notify_qsave__bg0.png</t>
  </si>
  <si>
    <t>278 × 158</t>
  </si>
  <si>
    <t>extracted/_tlg_png/uipsd/notify_qsave__bg0.png</t>
  </si>
  <si>
    <t>f8f37c6206421890e4134134bb2f67876a9656da5062bfeb708f7e87a08f5016</t>
  </si>
  <si>
    <t>notify_qsave__pack.png</t>
  </si>
  <si>
    <t>157 × 164</t>
  </si>
  <si>
    <t>extracted/_tlg_png/uipsd/notify_qsave__pack.png</t>
  </si>
  <si>
    <t>15f1601c5817cae3b5d67c1780b44597ff6702015d54ba933fd0ae5627d1e73e</t>
  </si>
  <si>
    <t>notify_snapshot__bg0.png</t>
  </si>
  <si>
    <t>272 × 152</t>
  </si>
  <si>
    <t>extracted/_tlg_png/uipsd/notify_snapshot__bg0.png</t>
  </si>
  <si>
    <t>b10b602214247290484a361ca6df5877f301b2e1184beea48139a0bfb3123f21</t>
  </si>
  <si>
    <t>notify_snapshot__pack.png</t>
  </si>
  <si>
    <t>142 × 91</t>
  </si>
  <si>
    <t>extracted/_tlg_png/uipsd/notify_snapshot__pack.png</t>
  </si>
  <si>
    <t>e5577ab48b1693f10a134b22f5a277c8863dc243ccf8b8fbba22e0dfada17963</t>
  </si>
  <si>
    <t>notify_vsave__bg0.png</t>
  </si>
  <si>
    <t>extracted/_tlg_png/uipsd/notify_vsave__bg0.png</t>
  </si>
  <si>
    <t>notify_vsave__pack.png</t>
  </si>
  <si>
    <t>272 × 270</t>
  </si>
  <si>
    <t>extracted/_tlg_png/uipsd/notify_vsave__pack.png</t>
  </si>
  <si>
    <t>245edc615b327e37289996473ad2d81ecc03c68fc0873597ae0fdbb9b6d93a5f</t>
  </si>
  <si>
    <t>494 × 226</t>
  </si>
  <si>
    <t>extracted/_tlg_png/uipsd/popup_quick__bg0.png</t>
  </si>
  <si>
    <t>53c99d03864959e7bb7bc6f7b3bb07dc74403998d5ff1693025a2da9dac581f3</t>
  </si>
  <si>
    <t>popup_quick__pack.png</t>
  </si>
  <si>
    <t>396 × 422</t>
  </si>
  <si>
    <t>extracted/_tlg_png/uipsd/popup_quick__pack.png</t>
  </si>
  <si>
    <t>9e4ccff54aa3a0b919af992883d05c5c70d1d7980781307f7fd5f94250a02784</t>
  </si>
  <si>
    <t>extracted/_tlg_png/uipsd/popup_system__bg0.png</t>
  </si>
  <si>
    <t>913da38b7b162c766c21445bc2b82c2c102f3335e2735c17859a1bd81c36b7ee</t>
  </si>
  <si>
    <t>120 × 139</t>
  </si>
  <si>
    <t>extracted/_tlg_png/uipsd/popup_system__pack.png</t>
  </si>
  <si>
    <t>e350dac43ca75e5e9a1e0ff428f7e8105b7635e25acb7a1e12fb216ff504135d</t>
  </si>
  <si>
    <t>extracted/_tlg_png/uipsd/popup_volume__bg0.png</t>
  </si>
  <si>
    <t>4b04a4f87ec2799393e356f239a1e53a053afdaf86bcd817bca6e1dca756370f</t>
  </si>
  <si>
    <t>popup_volume__pack.png</t>
  </si>
  <si>
    <t>82 × 78</t>
  </si>
  <si>
    <t>extracted/_tlg_png/uipsd/popup_volume__pack.png</t>
  </si>
  <si>
    <t>57c4dad10c8f01c8e3a3969160d03dc10708c10b241f92e60210daf6f6f10252</t>
  </si>
  <si>
    <t>select__bg0.png</t>
  </si>
  <si>
    <t>纯背景／透明层，无固定文字。</t>
  </si>
  <si>
    <t>extracted/_tlg_png/uipsd/select__bg0.png</t>
  </si>
  <si>
    <t>0025d0eb3675aac8203cc7436f1284363ddbde2b223b7e26e6692eeb348775f9</t>
  </si>
  <si>
    <t>select__pack.png</t>
  </si>
  <si>
    <t>1434 × 430</t>
  </si>
  <si>
    <t>extracted/_tlg_png/uipsd/select__pack.png</t>
  </si>
  <si>
    <t>1e049fb2476eb08dd3cfa7cb6e849c1c1117cf72e0bf691e03364e25ca6e711d</t>
  </si>
  <si>
    <t>system0__pack.png</t>
  </si>
  <si>
    <t>427 × 462</t>
  </si>
  <si>
    <t>检测为已修改中文系统导航图集；本轮不重复翻译。</t>
  </si>
  <si>
    <t>extracted/_tlg_png/uipsd/system0__pack.png</t>
  </si>
  <si>
    <t>5a08e5d03e467bcf58cf260709eac1e45ca7a07e3f06ceef37dfeeed2eab6c22</t>
  </si>
  <si>
    <t>system1__bg0.png</t>
  </si>
  <si>
    <t>extracted/_tlg_png/uipsd/system1__bg0.png</t>
  </si>
  <si>
    <t>c82cfd9c7eb0e520148112870267995a378650265c481169e049be795240bf3f</t>
  </si>
  <si>
    <t>659 × 651</t>
  </si>
  <si>
    <t>extracted/_tlg_png/uipsd/system1__pack.png</t>
  </si>
  <si>
    <t>88c8bec720aae0518115f99ad59b97a3475064f175a5a52236f9d11157ede73b</t>
  </si>
  <si>
    <t>system2__bg0.png</t>
  </si>
  <si>
    <t>extracted/_tlg_png/uipsd/system2__bg0.png</t>
  </si>
  <si>
    <t>192d9307a8f39ccaaaff94fdf31193af3f5595fe38ea7e5e21e3070418101a8d</t>
  </si>
  <si>
    <t>543 × 559</t>
  </si>
  <si>
    <t>extracted/_tlg_png/uipsd/system2__pack.png</t>
  </si>
  <si>
    <t>4a240bbd41a7d4dcb427f06964767d9355269b44e44ad0b348d352e0742471ab</t>
  </si>
  <si>
    <t>system3__bg0.png</t>
  </si>
  <si>
    <t>extracted/_tlg_png/uipsd/system3__bg0.png</t>
  </si>
  <si>
    <t>d2e300f5361303b4467105f5ff9a90cd7fa9091a0e70618f10f1e0e31c7a448b</t>
  </si>
  <si>
    <t>1260 × 1296</t>
  </si>
  <si>
    <t>extracted/_tlg_png/uipsd/system3__pack.png</t>
  </si>
  <si>
    <t>30c55beceb78102d5fe67a71a5cd1fc8b200f24d7a03c161c9e18a5b533586ba</t>
  </si>
  <si>
    <t>system4__bg0.png</t>
  </si>
  <si>
    <t>extracted/_tlg_png/uipsd/system4__bg0.png</t>
  </si>
  <si>
    <t>b7b1d6a01eb2d2e621031628b246b634d9d7f95a97a99dd27e717ca2bb2ba841</t>
  </si>
  <si>
    <t>419 × 255</t>
  </si>
  <si>
    <t>extracted/_tlg_png/uipsd/system4__pack.png</t>
  </si>
  <si>
    <t>c6fa04bdcb47ea544f2b14ab192aa13eafd75038640f7563ca24438afb0ef150</t>
  </si>
  <si>
    <t>system5__bg0.png</t>
  </si>
  <si>
    <t>extracted/_tlg_png/uipsd/system5__bg0.png</t>
  </si>
  <si>
    <t>893e8956d2d45b3b2f578bee778be791d276da4ddf7d7f6eb443467e75bd4a05</t>
  </si>
  <si>
    <t>1068 × 598</t>
  </si>
  <si>
    <t>extracted/_tlg_png/uipsd/system5__pack.png</t>
  </si>
  <si>
    <t>cdcf937cbe784f53b84438f6bdd2cc523aa492c7834545824aced3029ffcb10e</t>
  </si>
  <si>
    <t>system5_pulldown__bg0.png</t>
  </si>
  <si>
    <t>564 × 288</t>
  </si>
  <si>
    <t>extracted/_tlg_png/uipsd/system5_pulldown__bg0.png</t>
  </si>
  <si>
    <t>bd2b8b94de780985ad41569a425f0747c5a469bdbfbe55331217ea542b65059f</t>
  </si>
  <si>
    <t>592 × 752</t>
  </si>
  <si>
    <t>extracted/_tlg_png/uipsd/system5_pulldown__pack.png</t>
  </si>
  <si>
    <t>75f5a05f021bc881c080b5edd456f19a370a113d0f9ff4a5dc96be39f5379b9b</t>
  </si>
  <si>
    <t>system6__bg0.png</t>
  </si>
  <si>
    <t>extracted/_tlg_png/uipsd/system6__bg0.png</t>
  </si>
  <si>
    <t>ff8b1f2deed05a3aa8f4b0d0232ce75822ba6de3bb2f97653fb1670f215f2a34</t>
  </si>
  <si>
    <t>726 × 205</t>
  </si>
  <si>
    <t>extracted/_tlg_png/uipsd/system6__pack.png</t>
  </si>
  <si>
    <t>91bcec78919a87636545c4503923366ca822b446447856f1e5fe989a60de3ded</t>
  </si>
  <si>
    <t>336 × 288</t>
  </si>
  <si>
    <t>extracted/_tlg_png/uipsd/system6_pulldown__pack.png</t>
  </si>
  <si>
    <t>b1f32546a1c37302b4609a2500e2f6b34eaf116bb2c5f2dfcd2e58eb75c9f384</t>
  </si>
  <si>
    <t>title__pack.png</t>
  </si>
  <si>
    <t>419 × 406</t>
  </si>
  <si>
    <t>检测为已修改中文标题菜单图集；本轮不重复翻译。</t>
  </si>
  <si>
    <t>extracted/_tlg_png/uipsd/title__pack.png</t>
  </si>
  <si>
    <t>b66508d892f0ca6ec67c740c8c10603e1baae507182acdd160caef414e95c8ae</t>
  </si>
  <si>
    <t>1928 × 1088</t>
  </si>
  <si>
    <t>仅版权信息，建议保留原文。</t>
  </si>
  <si>
    <t>extracted/_tlg_png/uipsd/title_bg_2.png</t>
  </si>
  <si>
    <t>69b91f8498f1e2d43ed0e1e4ec7b2e503f4fae4dcfffafd17e5ea05fd2c33341</t>
  </si>
  <si>
    <t>title_bg_3.png</t>
  </si>
  <si>
    <t>635 × 580</t>
  </si>
  <si>
    <t>extracted/_tlg_png/uipsd/title_bg_3.png</t>
  </si>
  <si>
    <t>f99d503917799783704229b38ebd283b9c9521a7a493b4feb17df91646541e64</t>
  </si>
  <si>
    <t>title_bg_4.png</t>
  </si>
  <si>
    <t>843 × 523</t>
  </si>
  <si>
    <t>extracted/_tlg_png/uipsd/title_bg_4.png</t>
  </si>
  <si>
    <t>233cf283df3435a1d026c5f6b80d7a31b3bf18d411d30d82ddc664f3180a9d17</t>
  </si>
  <si>
    <t>1578 × 508</t>
  </si>
  <si>
    <t>extracted/_tlg_png/uipsd/title_bg_5.png</t>
  </si>
  <si>
    <t>bbb4846e3fcd7c301118662df6ca766a81353fe3e204d8413f2063587a89f2af</t>
  </si>
  <si>
    <t>474 × 257</t>
  </si>
  <si>
    <t>extracted/_tlg_png/uipsd/title_bg_6.png</t>
  </si>
  <si>
    <t>4ca43f4d5ac4d8705b9fad2b43396bc7fd888e526024eeb798fb5a2e2db7f523</t>
  </si>
  <si>
    <t>如果不需要此功能，请选择“OFF。</t>
  </si>
  <si>
    <t>可随时在系统设置界面重新设置。</t>
  </si>
  <si>
    <t>要交换数据吗？</t>
  </si>
  <si>
    <t>要从上次中断处继续吗？</t>
  </si>
  <si>
    <t>要返回标题界面吗？</t>
  </si>
  <si>
    <t>要复制数据吗？</t>
  </si>
  <si>
    <t>要快速保存吗？</t>
  </si>
  <si>
    <t>要快速读取吗？</t>
  </si>
  <si>
    <t>要恢复为初始设置吗？</t>
  </si>
  <si>
    <t>要删除数据吗？</t>
  </si>
  <si>
    <t>要退出游戏吗？</t>
  </si>
  <si>
    <t>要跳转吗？</t>
  </si>
  <si>
    <t>要覆盖吗？</t>
  </si>
  <si>
    <t>要保存吗？</t>
  </si>
  <si>
    <t>要读取吗？</t>
  </si>
  <si>
    <t>下次不再显示</t>
  </si>
  <si>
    <t>暂停功能</t>
  </si>
  <si>
    <t>是</t>
  </si>
  <si>
    <t>否</t>
  </si>
  <si>
    <t>开</t>
  </si>
  <si>
    <t>关闭</t>
  </si>
  <si>
    <t>*日期</t>
  </si>
  <si>
    <t>*章节</t>
  </si>
  <si>
    <t>*备注</t>
  </si>
  <si>
    <t>融化的风花与白兔</t>
  </si>
  <si>
    <t>无数据</t>
  </si>
  <si>
    <t>快速读取</t>
  </si>
  <si>
    <t>显示章节和备注</t>
  </si>
  <si>
    <t>保存</t>
  </si>
  <si>
    <t>读取</t>
  </si>
  <si>
    <t>长按EDIT按钮</t>
  </si>
  <si>
    <t>数据替换</t>
  </si>
  <si>
    <t>数据复制</t>
  </si>
  <si>
    <t>额外返回</t>
  </si>
  <si>
    <t>额外读取</t>
  </si>
  <si>
    <t>新!</t>
  </si>
  <si>
    <t>注册到列表</t>
  </si>
  <si>
    <t>删除列表</t>
  </si>
  <si>
    <t>从列表中删除</t>
  </si>
  <si>
    <t>加载列表</t>
  </si>
  <si>
    <t>保存列表</t>
  </si>
  <si>
    <t>显示播放列表</t>
  </si>
  <si>
    <t>额外内容</t>
  </si>
  <si>
    <t>剧情模式 开/关</t>
  </si>
  <si>
    <t>保存截图</t>
  </si>
  <si>
    <t>回溯记录</t>
  </si>
  <si>
    <t>跳过文本</t>
  </si>
  <si>
    <t>播放语音</t>
  </si>
  <si>
    <t>返回上一个选项</t>
  </si>
  <si>
    <t>收藏语音</t>
  </si>
  <si>
    <t>剧情图表</t>
  </si>
  <si>
    <t>隐藏窗口</t>
  </si>
  <si>
    <t>最小化游戏</t>
  </si>
  <si>
    <t>返回标题画面</t>
  </si>
  <si>
    <t>快速保存</t>
  </si>
  <si>
    <t>文本速度</t>
  </si>
  <si>
    <t>自动播放速度</t>
  </si>
  <si>
    <t>窗口不透明度</t>
  </si>
  <si>
    <t>跳过未读文本</t>
  </si>
  <si>
    <t>仅已读</t>
  </si>
  <si>
    <t>全部文本</t>
  </si>
  <si>
    <t>主音量</t>
  </si>
  <si>
    <t>语音</t>
  </si>
  <si>
    <t>SE（游戏音效）</t>
  </si>
  <si>
    <t>画面尺寸</t>
  </si>
  <si>
    <t>画面分辨率</t>
  </si>
  <si>
    <t>画面切换速度</t>
  </si>
  <si>
    <t>始终将画面显示在最前</t>
  </si>
  <si>
    <t>系统菜单弹出</t>
  </si>
  <si>
    <t>鼠标设置</t>
  </si>
  <si>
    <t>截图保存设置</t>
  </si>
  <si>
    <t>以日期时间文件名保存</t>
  </si>
  <si>
    <t>指定文件名</t>
  </si>
  <si>
    <t>全屏</t>
  </si>
  <si>
    <t>窗口</t>
  </si>
  <si>
    <t>右键单击</t>
  </si>
  <si>
    <t>单击鼠标中键</t>
  </si>
  <si>
    <t>隐藏消息窗口</t>
  </si>
  <si>
    <t>详细设置</t>
  </si>
  <si>
    <t>类型 A</t>
  </si>
  <si>
    <t>类型 B</t>
  </si>
  <si>
    <t>不等待</t>
  </si>
  <si>
    <t>已读消息即时显示</t>
  </si>
  <si>
    <t>选项后跳过消息</t>
  </si>
  <si>
    <t>自动播放时完整播放语音</t>
  </si>
  <si>
    <t>消息跳过速度</t>
  </si>
  <si>
    <t>消息跳过设置</t>
  </si>
  <si>
    <t>Ctrl跳过设置</t>
  </si>
  <si>
    <t>消息窗口不透明度</t>
  </si>
  <si>
    <t>戏剧模式</t>
  </si>
  <si>
    <t>外部语音工具联动</t>
  </si>
  <si>
    <t>示例文本</t>
  </si>
  <si>
    <t>继续</t>
  </si>
  <si>
    <t>BGM（语音播放时）</t>
  </si>
  <si>
    <t>SE（系统音效）</t>
  </si>
  <si>
    <t>影片</t>
  </si>
  <si>
    <t>跳过语音</t>
  </si>
  <si>
    <t>降低BGM音量</t>
  </si>
  <si>
    <t>角色语音</t>
  </si>
  <si>
    <t>系统语音</t>
  </si>
  <si>
    <t>其他（女性）</t>
  </si>
  <si>
    <t>其他（男性）</t>
  </si>
  <si>
    <t>绘利</t>
  </si>
  <si>
    <t>风花</t>
  </si>
  <si>
    <t>全部</t>
  </si>
  <si>
    <t>场景跳转（回顾日志）</t>
  </si>
  <si>
    <t>从挂起状态恢复</t>
  </si>
  <si>
    <t>删除数据</t>
  </si>
  <si>
    <t>保存（覆盖）</t>
  </si>
  <si>
    <t>在冒险画面中按住鼠标右键并向上下左右移动鼠标，即可执行对应功能。</t>
  </si>
  <si>
    <t>点击下拉菜单（▼）可更改手势项目。</t>
  </si>
  <si>
    <t>长按右键显示当前设置</t>
  </si>
  <si>
    <t>右键手势</t>
  </si>
  <si>
    <t>手势功能</t>
  </si>
  <si>
    <t>禁用系统存档读取</t>
  </si>
  <si>
    <t>自动播放</t>
  </si>
  <si>
    <t>无效</t>
  </si>
  <si>
    <t>系统</t>
  </si>
  <si>
    <t>点击下拉菜单（▼）即可更改快捷键项目。</t>
  </si>
  <si>
    <t>推进消息／确认选项</t>
  </si>
  <si>
    <t>强制跳过消息</t>
  </si>
  <si>
    <t>键盘输入 开／关</t>
  </si>
  <si>
    <t>更改窗口大小</t>
  </si>
  <si>
    <t>查看历史记录时向下移动</t>
  </si>
  <si>
    <t>鼠标右键单击</t>
  </si>
  <si>
    <t>固定快捷键</t>
  </si>
  <si>
    <t>退出游戏</t>
  </si>
  <si>
    <t>体验版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</si>
</sst>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name val="Carlito"/>
    </font>
    <font>
      <sz val="10"/>
      <color rgb="FF1F2937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i/>
      <sz val="10"/>
      <color rgb="FF40566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6"/>
      <color rgb="FF16324F"/>
      <name val="Microsoft YaHei"/>
      <family val="2"/>
      <charset val="134"/>
    </font>
    <font>
      <b/>
      <sz val="10"/>
      <color rgb="FF16324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1F8"/>
      </patternFill>
    </fill>
    <fill>
      <patternFill patternType="solid">
        <fgColor rgb="FF2A9D8F"/>
      </patternFill>
    </fill>
    <fill>
      <patternFill patternType="solid">
        <fgColor rgb="FFF4F7FA"/>
      </patternFill>
    </fill>
    <fill>
      <patternFill patternType="solid">
        <fgColor rgb="FFF8FBFD"/>
      </patternFill>
    </fill>
    <fill>
      <patternFill patternType="solid">
        <fgColor rgb="FF3478C4"/>
      </patternFill>
    </fill>
    <fill>
      <patternFill patternType="solid">
        <fgColor rgb="FFFFF2B2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5" fillId="5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vertical="center" wrapText="1"/>
    </xf>
    <xf numFmtId="1" fontId="1" fillId="0" borderId="1" xfId="1" applyNumberFormat="1" applyFont="1" applyBorder="1" applyAlignment="1">
      <alignment vertical="center" wrapText="1"/>
    </xf>
    <xf numFmtId="176" fontId="1" fillId="0" borderId="1" xfId="1" applyNumberFormat="1" applyFont="1" applyBorder="1" applyAlignment="1">
      <alignment vertical="center" wrapText="1"/>
    </xf>
    <xf numFmtId="0" fontId="2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3" fillId="3" borderId="0" xfId="1" applyFont="1" applyFill="1" applyAlignment="1">
      <alignment vertical="center" wrapText="1"/>
    </xf>
    <xf numFmtId="0" fontId="0" fillId="9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11">
    <dxf>
      <font>
        <color rgb="FF9C0006"/>
      </font>
      <fill>
        <patternFill patternType="solid">
          <bgColor rgb="FFF4CCCC"/>
        </patternFill>
      </fill>
    </dxf>
    <dxf>
      <font>
        <color rgb="FF256029"/>
      </font>
      <fill>
        <patternFill patternType="solid">
          <bgColor rgb="FFD9EAD3"/>
        </patternFill>
      </fill>
    </dxf>
    <dxf>
      <font>
        <b/>
        <color rgb="FF9A3412"/>
      </font>
      <fill>
        <patternFill patternType="solid">
          <bgColor rgb="FFFCE8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6324F"/>
        <name val="Microsoft YaHei"/>
        <family val="2"/>
        <charset val="134"/>
        <scheme val="none"/>
      </font>
      <fill>
        <patternFill patternType="solid">
          <fgColor indexed="64"/>
          <bgColor rgb="FFFFF2B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/>
        <color rgb="FF256029"/>
      </font>
      <fill>
        <patternFill patternType="solid">
          <bgColor rgb="FFD9EAD3"/>
        </patternFill>
      </fill>
    </dxf>
    <dxf>
      <font>
        <b/>
        <color rgb="FF9A3412"/>
      </font>
      <fill>
        <patternFill patternType="solid">
          <bgColor rgb="FFFCE8D5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256029"/>
      </font>
      <fill>
        <patternFill patternType="solid">
          <bgColor rgb="FFD9EAD3"/>
        </patternFill>
      </fill>
    </dxf>
    <dxf>
      <font>
        <b/>
        <color rgb="FF9A3412"/>
      </font>
      <fill>
        <patternFill patternType="solid">
          <bgColor rgb="FFFCE8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ipsdTranslationTable" displayName="UipsdTranslationTable" ref="A5:L155" totalsRowShown="0">
  <autoFilter ref="A5:L155" xr:uid="{00000000-0009-0000-0100-000001000000}"/>
  <tableColumns count="12">
    <tableColumn id="1" xr3:uid="{00000000-0010-0000-0000-000001000000}" name="ID"/>
    <tableColumn id="2" xr3:uid="{00000000-0010-0000-0000-000002000000}" name="原文"/>
    <tableColumn id="3" xr3:uid="{00000000-0010-0000-0000-000003000000}" name="中文译文" dataDxfId="3" dataCellStyle="Normal"/>
    <tableColumn id="4" xr3:uid="{00000000-0010-0000-0000-000004000000}" name="语言"/>
    <tableColumn id="5" xr3:uid="{00000000-0010-0000-0000-000005000000}" name="处理建议"/>
    <tableColumn id="6" xr3:uid="{00000000-0010-0000-0000-000006000000}" name="来源图片数"/>
    <tableColumn id="7" xr3:uid="{00000000-0010-0000-0000-000007000000}" name="状态/图块数"/>
    <tableColumn id="8" xr3:uid="{00000000-0010-0000-0000-000008000000}" name="来源文件"/>
    <tableColumn id="9" xr3:uid="{00000000-0010-0000-0000-000009000000}" name="字体颜色"/>
    <tableColumn id="10" xr3:uid="{00000000-0010-0000-0000-00000A000000}" name="字体/描边"/>
    <tableColumn id="11" xr3:uid="{00000000-0010-0000-0000-00000B000000}" name="复核状态"/>
    <tableColumn id="12" xr3:uid="{00000000-0010-0000-0000-00000C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ipsdPositionTable" displayName="UipsdPositionTable" ref="A5:Q207" totalsRowShown="0">
  <tableColumns count="17">
    <tableColumn id="1" xr3:uid="{00000000-0010-0000-0100-000001000000}" name="ID"/>
    <tableColumn id="2" xr3:uid="{00000000-0010-0000-0100-000002000000}" name="文件名"/>
    <tableColumn id="3" xr3:uid="{00000000-0010-0000-0100-000003000000}" name="原文"/>
    <tableColumn id="4" xr3:uid="{00000000-0010-0000-0100-000004000000}" name="中文译文（自动）"/>
    <tableColumn id="5" xr3:uid="{00000000-0010-0000-0100-000005000000}" name="变体数"/>
    <tableColumn id="6" xr3:uid="{00000000-0010-0000-0100-000006000000}" name="X"/>
    <tableColumn id="7" xr3:uid="{00000000-0010-0000-0100-000007000000}" name="Y"/>
    <tableColumn id="8" xr3:uid="{00000000-0010-0000-0100-000008000000}" name="宽"/>
    <tableColumn id="9" xr3:uid="{00000000-0010-0000-0100-000009000000}" name="高"/>
    <tableColumn id="10" xr3:uid="{00000000-0010-0000-0100-00000A000000}" name="估计字号(px)"/>
    <tableColumn id="11" xr3:uid="{00000000-0010-0000-0100-00000B000000}" name="文字色说明"/>
    <tableColumn id="12" xr3:uid="{00000000-0010-0000-0100-00000C000000}" name="候选色值"/>
    <tableColumn id="13" xr3:uid="{00000000-0010-0000-0100-00000D000000}" name="字体/描边"/>
    <tableColumn id="14" xr3:uid="{00000000-0010-0000-0100-00000E000000}" name="OCR置信度"/>
    <tableColumn id="15" xr3:uid="{00000000-0010-0000-0100-00000F000000}" name="匹配分数"/>
    <tableColumn id="16" xr3:uid="{00000000-0010-0000-0100-000010000000}" name="复核状态"/>
    <tableColumn id="17" xr3:uid="{00000000-0010-0000-0100-000011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ipsdRawOcrTable" displayName="UipsdRawOcrTable" ref="A5:M448" totalsRowShown="0">
  <tableColumns count="13">
    <tableColumn id="1" xr3:uid="{00000000-0010-0000-0200-000001000000}" name="OCR ID"/>
    <tableColumn id="2" xr3:uid="{00000000-0010-0000-0200-000002000000}" name="文件名"/>
    <tableColumn id="3" xr3:uid="{00000000-0010-0000-0200-000003000000}" name="机器识别文本"/>
    <tableColumn id="4" xr3:uid="{00000000-0010-0000-0200-000004000000}" name="置信度"/>
    <tableColumn id="5" xr3:uid="{00000000-0010-0000-0200-000005000000}" name="X"/>
    <tableColumn id="6" xr3:uid="{00000000-0010-0000-0200-000006000000}" name="Y"/>
    <tableColumn id="7" xr3:uid="{00000000-0010-0000-0200-000007000000}" name="宽"/>
    <tableColumn id="8" xr3:uid="{00000000-0010-0000-0200-000008000000}" name="高"/>
    <tableColumn id="9" xr3:uid="{00000000-0010-0000-0200-000009000000}" name="方向"/>
    <tableColumn id="10" xr3:uid="{00000000-0010-0000-0200-00000A000000}" name="估计字号(px)"/>
    <tableColumn id="11" xr3:uid="{00000000-0010-0000-0200-00000B000000}" name="候选色值"/>
    <tableColumn id="12" xr3:uid="{00000000-0010-0000-0200-00000C000000}" name="识别底色"/>
    <tableColumn id="13" xr3:uid="{00000000-0010-0000-0200-00000D000000}" name="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ipsdImageTable" displayName="UipsdImageTable" ref="A5:J57" totalsRowShown="0">
  <tableColumns count="10">
    <tableColumn id="1" xr3:uid="{00000000-0010-0000-0300-000001000000}" name="文件名"/>
    <tableColumn id="2" xr3:uid="{00000000-0010-0000-0300-000002000000}" name="类别"/>
    <tableColumn id="3" xr3:uid="{00000000-0010-0000-0300-000003000000}" name="尺寸"/>
    <tableColumn id="4" xr3:uid="{00000000-0010-0000-0300-000004000000}" name="透明通道"/>
    <tableColumn id="5" xr3:uid="{00000000-0010-0000-0300-000005000000}" name="扫描状态"/>
    <tableColumn id="6" xr3:uid="{00000000-0010-0000-0300-000006000000}" name="整理条目数"/>
    <tableColumn id="7" xr3:uid="{00000000-0010-0000-0300-000007000000}" name="OCR框数"/>
    <tableColumn id="8" xr3:uid="{00000000-0010-0000-0300-000008000000}" name="备注"/>
    <tableColumn id="9" xr3:uid="{00000000-0010-0000-0300-000009000000}" name="相对路径"/>
    <tableColumn id="10" xr3:uid="{00000000-0010-0000-0300-00000A000000}" name="SHA-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0"/>
  <sheetViews>
    <sheetView showGridLines="0" topLeftCell="A4" workbookViewId="0">
      <selection sqref="A1:H1"/>
    </sheetView>
  </sheetViews>
  <sheetFormatPr defaultRowHeight="14.25"/>
  <cols>
    <col min="1" max="1" width="16" customWidth="1"/>
    <col min="2" max="2" width="29" customWidth="1"/>
    <col min="3" max="3" width="16" customWidth="1"/>
    <col min="4" max="4" width="29" customWidth="1"/>
    <col min="5" max="5" width="16" customWidth="1"/>
    <col min="6" max="6" width="29" customWidth="1"/>
    <col min="7" max="7" width="16" customWidth="1"/>
    <col min="8" max="8" width="29" customWidth="1"/>
  </cols>
  <sheetData>
    <row r="1" spans="1:26" ht="33.950000000000003" customHeight="1">
      <c r="A1" s="10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1" customHeight="1">
      <c r="A2" s="11" t="s">
        <v>1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5" t="s">
        <v>2</v>
      </c>
      <c r="B4" s="5" t="s">
        <v>3</v>
      </c>
      <c r="C4" s="3"/>
      <c r="D4" s="12" t="s">
        <v>4</v>
      </c>
      <c r="E4" s="12"/>
      <c r="F4" s="12"/>
      <c r="G4" s="12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>
      <c r="A5" s="2">
        <f>COUNTA(图片清单!$A$6:$A$57)</f>
        <v>52</v>
      </c>
      <c r="B5" s="2">
        <f>COUNTIF(图片清单!$E$6:$E$57,"含文字／已整理")</f>
        <v>19</v>
      </c>
      <c r="C5" s="3"/>
      <c r="D5" s="13" t="s">
        <v>5</v>
      </c>
      <c r="E5" s="13"/>
      <c r="F5" s="13"/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5" t="s">
        <v>6</v>
      </c>
      <c r="B6" s="5" t="s">
        <v>7</v>
      </c>
      <c r="C6" s="3"/>
      <c r="D6" s="13"/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>
      <c r="A7" s="18">
        <f>COUNTA(翻译清单!$A$6:$A$155)</f>
        <v>149</v>
      </c>
      <c r="B7" s="18">
        <f>COUNTIFS(翻译清单!$E$6:$E$155,"待翻译",翻译清单!$C$6:$C$155,"")</f>
        <v>0</v>
      </c>
      <c r="C7" s="3"/>
      <c r="D7" s="13"/>
      <c r="E7" s="13"/>
      <c r="F7" s="13"/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5" t="s">
        <v>8</v>
      </c>
      <c r="B8" s="5" t="s">
        <v>9</v>
      </c>
      <c r="C8" s="3"/>
      <c r="D8" s="13"/>
      <c r="E8" s="13"/>
      <c r="F8" s="13"/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>
      <c r="A9" s="2">
        <f>COUNTA(OCR原始明细!$A$6:$A$448)</f>
        <v>443</v>
      </c>
      <c r="B9" s="2">
        <f>COUNTIF(图片清单!$E$6:$E$57,"已有中文")</f>
        <v>3</v>
      </c>
      <c r="C9" s="3"/>
      <c r="D9" s="13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3"/>
      <c r="B10" s="3"/>
      <c r="C10" s="3"/>
      <c r="D10" s="13"/>
      <c r="E10" s="13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4" t="s">
        <v>10</v>
      </c>
      <c r="B12" s="14"/>
      <c r="C12" s="14"/>
      <c r="D12" s="14"/>
      <c r="E12" s="14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" customHeight="1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" customHeight="1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33</v>
      </c>
      <c r="H15" s="4" t="s">
        <v>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" customHeight="1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" customHeight="1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47</v>
      </c>
      <c r="F17" s="4" t="s">
        <v>48</v>
      </c>
      <c r="G17" s="4" t="s">
        <v>49</v>
      </c>
      <c r="H17" s="4" t="s">
        <v>50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5">
    <mergeCell ref="A1:H1"/>
    <mergeCell ref="A2:H2"/>
    <mergeCell ref="D4:H4"/>
    <mergeCell ref="D5:H10"/>
    <mergeCell ref="A12:H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0"/>
  <sheetViews>
    <sheetView showGridLines="0" tabSelected="1" topLeftCell="A150" workbookViewId="0">
      <selection activeCell="C153" sqref="C153"/>
    </sheetView>
  </sheetViews>
  <sheetFormatPr defaultRowHeight="14.25"/>
  <cols>
    <col min="1" max="1" width="12" customWidth="1"/>
    <col min="2" max="3" width="40" customWidth="1"/>
    <col min="4" max="4" width="12" customWidth="1"/>
    <col min="5" max="5" width="14" customWidth="1"/>
    <col min="6" max="6" width="12" customWidth="1"/>
    <col min="7" max="7" width="13" customWidth="1"/>
    <col min="8" max="8" width="34" customWidth="1"/>
    <col min="9" max="9" width="26" customWidth="1"/>
    <col min="10" max="10" width="36" customWidth="1"/>
    <col min="11" max="11" width="26" customWidth="1"/>
    <col min="12" max="12" width="28" customWidth="1"/>
  </cols>
  <sheetData>
    <row r="1" spans="1:26" ht="36" customHeight="1">
      <c r="A1" s="15" t="s">
        <v>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95" customHeight="1">
      <c r="A2" s="16" t="s">
        <v>52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6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62</v>
      </c>
      <c r="K5" s="6" t="s">
        <v>63</v>
      </c>
      <c r="L5" s="6" t="s">
        <v>64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1" customHeight="1">
      <c r="A6" s="4" t="s">
        <v>65</v>
      </c>
      <c r="B6" s="4" t="s">
        <v>66</v>
      </c>
      <c r="C6" s="7" t="s">
        <v>1534</v>
      </c>
      <c r="D6" s="4" t="s">
        <v>67</v>
      </c>
      <c r="E6" s="4" t="s">
        <v>11</v>
      </c>
      <c r="F6" s="8">
        <v>1</v>
      </c>
      <c r="G6" s="8">
        <f>SUMIF(位置明细!$A$6:$A$207,A6,位置明细!$E$6:$E$207)</f>
        <v>1</v>
      </c>
      <c r="H6" s="4" t="s">
        <v>68</v>
      </c>
      <c r="I6" s="4" t="s">
        <v>69</v>
      </c>
      <c r="J6" s="4" t="s">
        <v>70</v>
      </c>
      <c r="K6" s="4" t="s">
        <v>71</v>
      </c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1" customHeight="1">
      <c r="A7" s="4" t="s">
        <v>72</v>
      </c>
      <c r="B7" s="4" t="s">
        <v>73</v>
      </c>
      <c r="C7" s="7" t="s">
        <v>1535</v>
      </c>
      <c r="D7" s="4" t="s">
        <v>67</v>
      </c>
      <c r="E7" s="4" t="s">
        <v>11</v>
      </c>
      <c r="F7" s="8">
        <v>1</v>
      </c>
      <c r="G7" s="8">
        <f>SUMIF(位置明细!$A$6:$A$207,A7,位置明细!$E$6:$E$207)</f>
        <v>1</v>
      </c>
      <c r="H7" s="4" t="s">
        <v>68</v>
      </c>
      <c r="I7" s="4" t="s">
        <v>69</v>
      </c>
      <c r="J7" s="4" t="s">
        <v>70</v>
      </c>
      <c r="K7" s="4" t="s">
        <v>71</v>
      </c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1" customHeight="1">
      <c r="A8" s="4" t="s">
        <v>74</v>
      </c>
      <c r="B8" s="4" t="s">
        <v>75</v>
      </c>
      <c r="C8" s="7" t="s">
        <v>1536</v>
      </c>
      <c r="D8" s="4" t="s">
        <v>67</v>
      </c>
      <c r="E8" s="4" t="s">
        <v>11</v>
      </c>
      <c r="F8" s="8">
        <v>1</v>
      </c>
      <c r="G8" s="8">
        <f>SUMIF(位置明细!$A$6:$A$207,A8,位置明细!$E$6:$E$207)</f>
        <v>1</v>
      </c>
      <c r="H8" s="4" t="s">
        <v>68</v>
      </c>
      <c r="I8" s="4" t="s">
        <v>69</v>
      </c>
      <c r="J8" s="4" t="s">
        <v>70</v>
      </c>
      <c r="K8" s="4" t="s">
        <v>76</v>
      </c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1" customHeight="1">
      <c r="A9" s="4" t="s">
        <v>77</v>
      </c>
      <c r="B9" s="4" t="s">
        <v>78</v>
      </c>
      <c r="C9" s="7" t="s">
        <v>1537</v>
      </c>
      <c r="D9" s="4" t="s">
        <v>67</v>
      </c>
      <c r="E9" s="4" t="s">
        <v>11</v>
      </c>
      <c r="F9" s="8">
        <v>1</v>
      </c>
      <c r="G9" s="8">
        <f>SUMIF(位置明细!$A$6:$A$207,A9,位置明细!$E$6:$E$207)</f>
        <v>1</v>
      </c>
      <c r="H9" s="4" t="s">
        <v>68</v>
      </c>
      <c r="I9" s="4" t="s">
        <v>69</v>
      </c>
      <c r="J9" s="4" t="s">
        <v>70</v>
      </c>
      <c r="K9" s="4" t="s">
        <v>71</v>
      </c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1" customHeight="1">
      <c r="A10" s="4" t="s">
        <v>79</v>
      </c>
      <c r="B10" s="4" t="s">
        <v>80</v>
      </c>
      <c r="C10" s="7" t="s">
        <v>1538</v>
      </c>
      <c r="D10" s="4" t="s">
        <v>67</v>
      </c>
      <c r="E10" s="4" t="s">
        <v>11</v>
      </c>
      <c r="F10" s="8">
        <v>1</v>
      </c>
      <c r="G10" s="8">
        <f>SUMIF(位置明细!$A$6:$A$207,A10,位置明细!$E$6:$E$207)</f>
        <v>1</v>
      </c>
      <c r="H10" s="4" t="s">
        <v>68</v>
      </c>
      <c r="I10" s="4" t="s">
        <v>69</v>
      </c>
      <c r="J10" s="4" t="s">
        <v>70</v>
      </c>
      <c r="K10" s="4" t="s">
        <v>71</v>
      </c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1" customHeight="1">
      <c r="A11" s="4" t="s">
        <v>81</v>
      </c>
      <c r="B11" s="4" t="s">
        <v>82</v>
      </c>
      <c r="C11" s="7" t="s">
        <v>1539</v>
      </c>
      <c r="D11" s="4" t="s">
        <v>67</v>
      </c>
      <c r="E11" s="4" t="s">
        <v>11</v>
      </c>
      <c r="F11" s="8">
        <v>1</v>
      </c>
      <c r="G11" s="8">
        <f>SUMIF(位置明细!$A$6:$A$207,A11,位置明细!$E$6:$E$207)</f>
        <v>1</v>
      </c>
      <c r="H11" s="4" t="s">
        <v>68</v>
      </c>
      <c r="I11" s="4" t="s">
        <v>69</v>
      </c>
      <c r="J11" s="4" t="s">
        <v>70</v>
      </c>
      <c r="K11" s="4" t="s">
        <v>71</v>
      </c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1" customHeight="1">
      <c r="A12" s="4" t="s">
        <v>83</v>
      </c>
      <c r="B12" s="4" t="s">
        <v>84</v>
      </c>
      <c r="C12" s="7" t="s">
        <v>1540</v>
      </c>
      <c r="D12" s="4" t="s">
        <v>67</v>
      </c>
      <c r="E12" s="4" t="s">
        <v>11</v>
      </c>
      <c r="F12" s="8">
        <v>1</v>
      </c>
      <c r="G12" s="8">
        <f>SUMIF(位置明细!$A$6:$A$207,A12,位置明细!$E$6:$E$207)</f>
        <v>2</v>
      </c>
      <c r="H12" s="4" t="s">
        <v>68</v>
      </c>
      <c r="I12" s="4" t="s">
        <v>69</v>
      </c>
      <c r="J12" s="4" t="s">
        <v>70</v>
      </c>
      <c r="K12" s="4" t="s">
        <v>71</v>
      </c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1" customHeight="1">
      <c r="A13" s="4" t="s">
        <v>85</v>
      </c>
      <c r="B13" s="4" t="s">
        <v>86</v>
      </c>
      <c r="C13" s="7" t="s">
        <v>1541</v>
      </c>
      <c r="D13" s="4" t="s">
        <v>67</v>
      </c>
      <c r="E13" s="4" t="s">
        <v>11</v>
      </c>
      <c r="F13" s="8">
        <v>1</v>
      </c>
      <c r="G13" s="8">
        <f>SUMIF(位置明细!$A$6:$A$207,A13,位置明细!$E$6:$E$207)</f>
        <v>2</v>
      </c>
      <c r="H13" s="4" t="s">
        <v>68</v>
      </c>
      <c r="I13" s="4" t="s">
        <v>69</v>
      </c>
      <c r="J13" s="4" t="s">
        <v>70</v>
      </c>
      <c r="K13" s="4" t="s">
        <v>71</v>
      </c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1" customHeight="1">
      <c r="A14" s="4" t="s">
        <v>87</v>
      </c>
      <c r="B14" s="4" t="s">
        <v>88</v>
      </c>
      <c r="C14" s="7" t="s">
        <v>1542</v>
      </c>
      <c r="D14" s="4" t="s">
        <v>67</v>
      </c>
      <c r="E14" s="4" t="s">
        <v>11</v>
      </c>
      <c r="F14" s="8">
        <v>1</v>
      </c>
      <c r="G14" s="8">
        <f>SUMIF(位置明细!$A$6:$A$207,A14,位置明细!$E$6:$E$207)</f>
        <v>1</v>
      </c>
      <c r="H14" s="4" t="s">
        <v>68</v>
      </c>
      <c r="I14" s="4" t="s">
        <v>69</v>
      </c>
      <c r="J14" s="4" t="s">
        <v>70</v>
      </c>
      <c r="K14" s="4" t="s">
        <v>71</v>
      </c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1" customHeight="1">
      <c r="A15" s="4" t="s">
        <v>89</v>
      </c>
      <c r="B15" s="4" t="s">
        <v>90</v>
      </c>
      <c r="C15" s="7" t="s">
        <v>1543</v>
      </c>
      <c r="D15" s="4" t="s">
        <v>67</v>
      </c>
      <c r="E15" s="4" t="s">
        <v>11</v>
      </c>
      <c r="F15" s="8">
        <v>1</v>
      </c>
      <c r="G15" s="8">
        <f>SUMIF(位置明细!$A$6:$A$207,A15,位置明细!$E$6:$E$207)</f>
        <v>1</v>
      </c>
      <c r="H15" s="4" t="s">
        <v>68</v>
      </c>
      <c r="I15" s="4" t="s">
        <v>69</v>
      </c>
      <c r="J15" s="4" t="s">
        <v>70</v>
      </c>
      <c r="K15" s="4" t="s">
        <v>71</v>
      </c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1" customHeight="1">
      <c r="A16" s="4" t="s">
        <v>91</v>
      </c>
      <c r="B16" s="4" t="s">
        <v>92</v>
      </c>
      <c r="C16" s="7" t="s">
        <v>1544</v>
      </c>
      <c r="D16" s="4" t="s">
        <v>67</v>
      </c>
      <c r="E16" s="4" t="s">
        <v>11</v>
      </c>
      <c r="F16" s="8">
        <v>1</v>
      </c>
      <c r="G16" s="8">
        <f>SUMIF(位置明细!$A$6:$A$207,A16,位置明细!$E$6:$E$207)</f>
        <v>1</v>
      </c>
      <c r="H16" s="4" t="s">
        <v>68</v>
      </c>
      <c r="I16" s="4" t="s">
        <v>69</v>
      </c>
      <c r="J16" s="4" t="s">
        <v>70</v>
      </c>
      <c r="K16" s="4" t="s">
        <v>71</v>
      </c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1" customHeight="1">
      <c r="A17" s="4" t="s">
        <v>93</v>
      </c>
      <c r="B17" s="4" t="s">
        <v>94</v>
      </c>
      <c r="C17" s="7" t="s">
        <v>1545</v>
      </c>
      <c r="D17" s="4" t="s">
        <v>67</v>
      </c>
      <c r="E17" s="4" t="s">
        <v>11</v>
      </c>
      <c r="F17" s="8">
        <v>1</v>
      </c>
      <c r="G17" s="8">
        <f>SUMIF(位置明细!$A$6:$A$207,A17,位置明细!$E$6:$E$207)</f>
        <v>1</v>
      </c>
      <c r="H17" s="4" t="s">
        <v>68</v>
      </c>
      <c r="I17" s="4" t="s">
        <v>69</v>
      </c>
      <c r="J17" s="4" t="s">
        <v>70</v>
      </c>
      <c r="K17" s="4" t="s">
        <v>71</v>
      </c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1" customHeight="1">
      <c r="A18" s="4" t="s">
        <v>95</v>
      </c>
      <c r="B18" s="4" t="s">
        <v>96</v>
      </c>
      <c r="C18" s="7" t="s">
        <v>1546</v>
      </c>
      <c r="D18" s="4" t="s">
        <v>67</v>
      </c>
      <c r="E18" s="4" t="s">
        <v>11</v>
      </c>
      <c r="F18" s="8">
        <v>1</v>
      </c>
      <c r="G18" s="8">
        <f>SUMIF(位置明细!$A$6:$A$207,A18,位置明细!$E$6:$E$207)</f>
        <v>1</v>
      </c>
      <c r="H18" s="4" t="s">
        <v>68</v>
      </c>
      <c r="I18" s="4" t="s">
        <v>69</v>
      </c>
      <c r="J18" s="4" t="s">
        <v>70</v>
      </c>
      <c r="K18" s="4" t="s">
        <v>71</v>
      </c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1" customHeight="1">
      <c r="A19" s="4" t="s">
        <v>97</v>
      </c>
      <c r="B19" s="4" t="s">
        <v>98</v>
      </c>
      <c r="C19" s="7" t="s">
        <v>1547</v>
      </c>
      <c r="D19" s="4" t="s">
        <v>67</v>
      </c>
      <c r="E19" s="4" t="s">
        <v>11</v>
      </c>
      <c r="F19" s="8">
        <v>1</v>
      </c>
      <c r="G19" s="8">
        <f>SUMIF(位置明细!$A$6:$A$207,A19,位置明细!$E$6:$E$207)</f>
        <v>3</v>
      </c>
      <c r="H19" s="4" t="s">
        <v>68</v>
      </c>
      <c r="I19" s="4" t="s">
        <v>69</v>
      </c>
      <c r="J19" s="4" t="s">
        <v>70</v>
      </c>
      <c r="K19" s="4" t="s">
        <v>71</v>
      </c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1" customHeight="1">
      <c r="A20" s="4" t="s">
        <v>99</v>
      </c>
      <c r="B20" s="4" t="s">
        <v>100</v>
      </c>
      <c r="C20" s="7" t="s">
        <v>1548</v>
      </c>
      <c r="D20" s="4" t="s">
        <v>67</v>
      </c>
      <c r="E20" s="4" t="s">
        <v>11</v>
      </c>
      <c r="F20" s="8">
        <v>1</v>
      </c>
      <c r="G20" s="8">
        <f>SUMIF(位置明细!$A$6:$A$207,A20,位置明细!$E$6:$E$207)</f>
        <v>2</v>
      </c>
      <c r="H20" s="4" t="s">
        <v>68</v>
      </c>
      <c r="I20" s="4" t="s">
        <v>69</v>
      </c>
      <c r="J20" s="4" t="s">
        <v>70</v>
      </c>
      <c r="K20" s="4" t="s">
        <v>71</v>
      </c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1" customHeight="1">
      <c r="A21" s="4" t="s">
        <v>101</v>
      </c>
      <c r="B21" s="4" t="s">
        <v>102</v>
      </c>
      <c r="C21" s="7" t="s">
        <v>1549</v>
      </c>
      <c r="D21" s="4" t="s">
        <v>67</v>
      </c>
      <c r="E21" s="4" t="s">
        <v>11</v>
      </c>
      <c r="F21" s="8">
        <v>1</v>
      </c>
      <c r="G21" s="8">
        <f>SUMIF(位置明细!$A$6:$A$207,A21,位置明细!$E$6:$E$207)</f>
        <v>3</v>
      </c>
      <c r="H21" s="4" t="s">
        <v>68</v>
      </c>
      <c r="I21" s="4" t="s">
        <v>69</v>
      </c>
      <c r="J21" s="4" t="s">
        <v>70</v>
      </c>
      <c r="K21" s="4" t="s">
        <v>71</v>
      </c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1" customHeight="1">
      <c r="A22" s="4" t="s">
        <v>103</v>
      </c>
      <c r="B22" s="4" t="s">
        <v>104</v>
      </c>
      <c r="C22" s="7" t="s">
        <v>1550</v>
      </c>
      <c r="D22" s="4" t="s">
        <v>67</v>
      </c>
      <c r="E22" s="4" t="s">
        <v>11</v>
      </c>
      <c r="F22" s="8">
        <v>2</v>
      </c>
      <c r="G22" s="8">
        <f>SUMIF(位置明细!$A$6:$A$207,A22,位置明细!$E$6:$E$207)</f>
        <v>2</v>
      </c>
      <c r="H22" s="4" t="s">
        <v>105</v>
      </c>
      <c r="I22" s="4" t="s">
        <v>106</v>
      </c>
      <c r="J22" s="4" t="s">
        <v>107</v>
      </c>
      <c r="K22" s="4" t="s">
        <v>108</v>
      </c>
      <c r="L22" s="4" t="s">
        <v>109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1" customHeight="1">
      <c r="A23" s="4" t="s">
        <v>110</v>
      </c>
      <c r="B23" s="4" t="s">
        <v>111</v>
      </c>
      <c r="C23" s="7" t="s">
        <v>1551</v>
      </c>
      <c r="D23" s="4" t="s">
        <v>112</v>
      </c>
      <c r="E23" s="4" t="s">
        <v>13</v>
      </c>
      <c r="F23" s="8">
        <v>1</v>
      </c>
      <c r="G23" s="8">
        <f>SUMIF(位置明细!$A$6:$A$207,A23,位置明细!$E$6:$E$207)</f>
        <v>1</v>
      </c>
      <c r="H23" s="4" t="s">
        <v>68</v>
      </c>
      <c r="I23" s="4" t="s">
        <v>69</v>
      </c>
      <c r="J23" s="4" t="s">
        <v>70</v>
      </c>
      <c r="K23" s="4" t="s">
        <v>76</v>
      </c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1" customHeight="1">
      <c r="A24" s="4" t="s">
        <v>113</v>
      </c>
      <c r="B24" s="4" t="s">
        <v>114</v>
      </c>
      <c r="C24" s="7" t="s">
        <v>1552</v>
      </c>
      <c r="D24" s="4" t="s">
        <v>112</v>
      </c>
      <c r="E24" s="4" t="s">
        <v>13</v>
      </c>
      <c r="F24" s="8">
        <v>1</v>
      </c>
      <c r="G24" s="8">
        <f>SUMIF(位置明细!$A$6:$A$207,A24,位置明细!$E$6:$E$207)</f>
        <v>1</v>
      </c>
      <c r="H24" s="4" t="s">
        <v>68</v>
      </c>
      <c r="I24" s="4" t="s">
        <v>69</v>
      </c>
      <c r="J24" s="4" t="s">
        <v>70</v>
      </c>
      <c r="K24" s="4" t="s">
        <v>76</v>
      </c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6" customHeight="1">
      <c r="A25" s="4" t="s">
        <v>115</v>
      </c>
      <c r="B25" s="4" t="s">
        <v>116</v>
      </c>
      <c r="C25" s="7" t="s">
        <v>1553</v>
      </c>
      <c r="D25" s="4" t="s">
        <v>112</v>
      </c>
      <c r="E25" s="4" t="s">
        <v>13</v>
      </c>
      <c r="F25" s="8">
        <v>6</v>
      </c>
      <c r="G25" s="8">
        <f>SUMIF(位置明细!$A$6:$A$207,A25,位置明细!$E$6:$E$207)</f>
        <v>20</v>
      </c>
      <c r="H25" s="4" t="s">
        <v>117</v>
      </c>
      <c r="I25" s="4" t="s">
        <v>118</v>
      </c>
      <c r="J25" s="4" t="s">
        <v>119</v>
      </c>
      <c r="K25" s="4" t="s">
        <v>120</v>
      </c>
      <c r="L25" s="4" t="s">
        <v>109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6" customHeight="1">
      <c r="A26" s="4" t="s">
        <v>121</v>
      </c>
      <c r="B26" s="4" t="s">
        <v>122</v>
      </c>
      <c r="C26" s="7" t="s">
        <v>1554</v>
      </c>
      <c r="D26" s="4" t="s">
        <v>112</v>
      </c>
      <c r="E26" s="4" t="s">
        <v>13</v>
      </c>
      <c r="F26" s="8">
        <v>6</v>
      </c>
      <c r="G26" s="8">
        <f>SUMIF(位置明细!$A$6:$A$207,A26,位置明细!$E$6:$E$207)</f>
        <v>14</v>
      </c>
      <c r="H26" s="4" t="s">
        <v>117</v>
      </c>
      <c r="I26" s="4" t="s">
        <v>118</v>
      </c>
      <c r="J26" s="4" t="s">
        <v>119</v>
      </c>
      <c r="K26" s="4" t="s">
        <v>108</v>
      </c>
      <c r="L26" s="4" t="s">
        <v>109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1" customHeight="1">
      <c r="A27" s="4" t="s">
        <v>123</v>
      </c>
      <c r="B27" s="4" t="s">
        <v>124</v>
      </c>
      <c r="C27" s="7" t="s">
        <v>1555</v>
      </c>
      <c r="D27" s="4" t="s">
        <v>112</v>
      </c>
      <c r="E27" s="4" t="s">
        <v>13</v>
      </c>
      <c r="F27" s="8">
        <v>1</v>
      </c>
      <c r="G27" s="8">
        <f>SUMIF(位置明细!$A$6:$A$207,A27,位置明细!$E$6:$E$207)</f>
        <v>1</v>
      </c>
      <c r="H27" s="4" t="s">
        <v>125</v>
      </c>
      <c r="I27" s="4" t="s">
        <v>126</v>
      </c>
      <c r="J27" s="4" t="s">
        <v>127</v>
      </c>
      <c r="K27" s="4" t="s">
        <v>71</v>
      </c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1" customHeight="1">
      <c r="A28" s="4" t="s">
        <v>128</v>
      </c>
      <c r="B28" s="4" t="s">
        <v>129</v>
      </c>
      <c r="C28" s="7" t="s">
        <v>1556</v>
      </c>
      <c r="D28" s="4" t="s">
        <v>112</v>
      </c>
      <c r="E28" s="4" t="s">
        <v>13</v>
      </c>
      <c r="F28" s="8">
        <v>1</v>
      </c>
      <c r="G28" s="8">
        <f>SUMIF(位置明细!$A$6:$A$207,A28,位置明细!$E$6:$E$207)</f>
        <v>1</v>
      </c>
      <c r="H28" s="4" t="s">
        <v>125</v>
      </c>
      <c r="I28" s="4" t="s">
        <v>126</v>
      </c>
      <c r="J28" s="4" t="s">
        <v>127</v>
      </c>
      <c r="K28" s="4" t="s">
        <v>71</v>
      </c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1" customHeight="1">
      <c r="A29" s="4" t="s">
        <v>130</v>
      </c>
      <c r="B29" s="4" t="s">
        <v>131</v>
      </c>
      <c r="C29" s="7" t="s">
        <v>1557</v>
      </c>
      <c r="D29" s="4" t="s">
        <v>112</v>
      </c>
      <c r="E29" s="4" t="s">
        <v>13</v>
      </c>
      <c r="F29" s="8">
        <v>1</v>
      </c>
      <c r="G29" s="8">
        <f>SUMIF(位置明细!$A$6:$A$207,A29,位置明细!$E$6:$E$207)</f>
        <v>1</v>
      </c>
      <c r="H29" s="4" t="s">
        <v>125</v>
      </c>
      <c r="I29" s="4" t="s">
        <v>126</v>
      </c>
      <c r="J29" s="4" t="s">
        <v>127</v>
      </c>
      <c r="K29" s="4" t="s">
        <v>71</v>
      </c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" customHeight="1">
      <c r="A30" s="4" t="s">
        <v>132</v>
      </c>
      <c r="B30" s="4" t="s">
        <v>133</v>
      </c>
      <c r="C30" s="7" t="s">
        <v>1558</v>
      </c>
      <c r="D30" s="4" t="s">
        <v>67</v>
      </c>
      <c r="E30" s="4" t="s">
        <v>11</v>
      </c>
      <c r="F30" s="8">
        <v>3</v>
      </c>
      <c r="G30" s="8">
        <f>SUMIF(位置明细!$A$6:$A$207,A30,位置明细!$E$6:$E$207)</f>
        <v>3</v>
      </c>
      <c r="H30" s="4" t="s">
        <v>134</v>
      </c>
      <c r="I30" s="4" t="s">
        <v>135</v>
      </c>
      <c r="J30" s="4" t="s">
        <v>136</v>
      </c>
      <c r="K30" s="4" t="s">
        <v>76</v>
      </c>
      <c r="L30" s="4" t="s">
        <v>109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8" customHeight="1">
      <c r="A31" s="4" t="s">
        <v>137</v>
      </c>
      <c r="B31" s="4" t="s">
        <v>138</v>
      </c>
      <c r="C31" s="7" t="s">
        <v>138</v>
      </c>
      <c r="D31" s="4" t="s">
        <v>112</v>
      </c>
      <c r="E31" s="4" t="s">
        <v>13</v>
      </c>
      <c r="F31" s="8">
        <v>3</v>
      </c>
      <c r="G31" s="8">
        <f>SUMIF(位置明细!$A$6:$A$207,A31,位置明细!$E$6:$E$207)</f>
        <v>3</v>
      </c>
      <c r="H31" s="4" t="s">
        <v>134</v>
      </c>
      <c r="I31" s="4" t="s">
        <v>135</v>
      </c>
      <c r="J31" s="4" t="s">
        <v>136</v>
      </c>
      <c r="K31" s="4" t="s">
        <v>139</v>
      </c>
      <c r="L31" s="4" t="s">
        <v>109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1" customHeight="1">
      <c r="A32" s="4" t="s">
        <v>140</v>
      </c>
      <c r="B32" s="4" t="s">
        <v>141</v>
      </c>
      <c r="C32" s="7" t="s">
        <v>1559</v>
      </c>
      <c r="D32" s="4" t="s">
        <v>112</v>
      </c>
      <c r="E32" s="4" t="s">
        <v>13</v>
      </c>
      <c r="F32" s="8">
        <v>2</v>
      </c>
      <c r="G32" s="8">
        <f>SUMIF(位置明细!$A$6:$A$207,A32,位置明细!$E$6:$E$207)</f>
        <v>2</v>
      </c>
      <c r="H32" s="4" t="s">
        <v>142</v>
      </c>
      <c r="I32" s="4" t="s">
        <v>143</v>
      </c>
      <c r="J32" s="4" t="s">
        <v>144</v>
      </c>
      <c r="K32" s="4" t="s">
        <v>71</v>
      </c>
      <c r="L32" s="4" t="s">
        <v>109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8" customHeight="1">
      <c r="A33" s="4" t="s">
        <v>145</v>
      </c>
      <c r="B33" s="4" t="s">
        <v>146</v>
      </c>
      <c r="C33" s="7" t="s">
        <v>1560</v>
      </c>
      <c r="D33" s="4" t="s">
        <v>67</v>
      </c>
      <c r="E33" s="4" t="s">
        <v>11</v>
      </c>
      <c r="F33" s="8">
        <v>3</v>
      </c>
      <c r="G33" s="8">
        <f>SUMIF(位置明细!$A$6:$A$207,A33,位置明细!$E$6:$E$207)</f>
        <v>5</v>
      </c>
      <c r="H33" s="4" t="s">
        <v>147</v>
      </c>
      <c r="I33" s="4" t="s">
        <v>148</v>
      </c>
      <c r="J33" s="4" t="s">
        <v>149</v>
      </c>
      <c r="K33" s="4" t="s">
        <v>71</v>
      </c>
      <c r="L33" s="4" t="s">
        <v>109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8.1" customHeight="1">
      <c r="A34" s="4" t="s">
        <v>150</v>
      </c>
      <c r="B34" s="4" t="s">
        <v>151</v>
      </c>
      <c r="C34" s="7" t="s">
        <v>1561</v>
      </c>
      <c r="D34" s="4" t="s">
        <v>67</v>
      </c>
      <c r="E34" s="4" t="s">
        <v>11</v>
      </c>
      <c r="F34" s="8">
        <v>1</v>
      </c>
      <c r="G34" s="8">
        <f>SUMIF(位置明细!$A$6:$A$207,A34,位置明细!$E$6:$E$207)</f>
        <v>5</v>
      </c>
      <c r="H34" s="4" t="s">
        <v>125</v>
      </c>
      <c r="I34" s="4" t="s">
        <v>126</v>
      </c>
      <c r="J34" s="4" t="s">
        <v>127</v>
      </c>
      <c r="K34" s="4" t="s">
        <v>71</v>
      </c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8.1" customHeight="1">
      <c r="A35" s="4" t="s">
        <v>152</v>
      </c>
      <c r="B35" s="4" t="s">
        <v>153</v>
      </c>
      <c r="C35" s="7" t="s">
        <v>1562</v>
      </c>
      <c r="D35" s="4" t="s">
        <v>67</v>
      </c>
      <c r="E35" s="4" t="s">
        <v>11</v>
      </c>
      <c r="F35" s="8">
        <v>2</v>
      </c>
      <c r="G35" s="8">
        <f>SUMIF(位置明细!$A$6:$A$207,A35,位置明细!$E$6:$E$207)</f>
        <v>7</v>
      </c>
      <c r="H35" s="4" t="s">
        <v>154</v>
      </c>
      <c r="I35" s="4" t="s">
        <v>155</v>
      </c>
      <c r="J35" s="4" t="s">
        <v>156</v>
      </c>
      <c r="K35" s="4" t="s">
        <v>71</v>
      </c>
      <c r="L35" s="4" t="s">
        <v>109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8.1" customHeight="1">
      <c r="A36" s="4" t="s">
        <v>157</v>
      </c>
      <c r="B36" s="4" t="s">
        <v>158</v>
      </c>
      <c r="C36" s="7" t="s">
        <v>1563</v>
      </c>
      <c r="D36" s="4" t="s">
        <v>67</v>
      </c>
      <c r="E36" s="4" t="s">
        <v>11</v>
      </c>
      <c r="F36" s="8">
        <v>2</v>
      </c>
      <c r="G36" s="8">
        <f>SUMIF(位置明细!$A$6:$A$207,A36,位置明细!$E$6:$E$207)</f>
        <v>8</v>
      </c>
      <c r="H36" s="4" t="s">
        <v>154</v>
      </c>
      <c r="I36" s="4" t="s">
        <v>155</v>
      </c>
      <c r="J36" s="4" t="s">
        <v>156</v>
      </c>
      <c r="K36" s="4" t="s">
        <v>120</v>
      </c>
      <c r="L36" s="4" t="s">
        <v>109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.1" customHeight="1">
      <c r="A37" s="4" t="s">
        <v>159</v>
      </c>
      <c r="B37" s="4" t="s">
        <v>160</v>
      </c>
      <c r="C37" s="7" t="s">
        <v>1564</v>
      </c>
      <c r="D37" s="4" t="s">
        <v>67</v>
      </c>
      <c r="E37" s="4" t="s">
        <v>11</v>
      </c>
      <c r="F37" s="8">
        <v>1</v>
      </c>
      <c r="G37" s="8">
        <f>SUMIF(位置明细!$A$6:$A$207,A37,位置明细!$E$6:$E$207)</f>
        <v>6</v>
      </c>
      <c r="H37" s="4" t="s">
        <v>125</v>
      </c>
      <c r="I37" s="4" t="s">
        <v>126</v>
      </c>
      <c r="J37" s="4" t="s">
        <v>127</v>
      </c>
      <c r="K37" s="4" t="s">
        <v>71</v>
      </c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8.1" customHeight="1">
      <c r="A38" s="4" t="s">
        <v>161</v>
      </c>
      <c r="B38" s="4" t="s">
        <v>162</v>
      </c>
      <c r="C38" s="7" t="s">
        <v>1565</v>
      </c>
      <c r="D38" s="4" t="s">
        <v>67</v>
      </c>
      <c r="E38" s="4" t="s">
        <v>11</v>
      </c>
      <c r="F38" s="8">
        <v>2</v>
      </c>
      <c r="G38" s="8">
        <f>SUMIF(位置明细!$A$6:$A$207,A38,位置明细!$E$6:$E$207)</f>
        <v>2</v>
      </c>
      <c r="H38" s="4" t="s">
        <v>163</v>
      </c>
      <c r="I38" s="4" t="s">
        <v>164</v>
      </c>
      <c r="J38" s="4" t="s">
        <v>165</v>
      </c>
      <c r="K38" s="4" t="s">
        <v>71</v>
      </c>
      <c r="L38" s="4" t="s">
        <v>109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8.1" customHeight="1">
      <c r="A39" s="4" t="s">
        <v>166</v>
      </c>
      <c r="B39" s="4" t="s">
        <v>167</v>
      </c>
      <c r="C39" s="7" t="s">
        <v>1566</v>
      </c>
      <c r="D39" s="4" t="s">
        <v>67</v>
      </c>
      <c r="E39" s="4" t="s">
        <v>11</v>
      </c>
      <c r="F39" s="8">
        <v>1</v>
      </c>
      <c r="G39" s="8">
        <f>SUMIF(位置明细!$A$6:$A$207,A39,位置明细!$E$6:$E$207)</f>
        <v>1</v>
      </c>
      <c r="H39" s="4" t="s">
        <v>125</v>
      </c>
      <c r="I39" s="4" t="s">
        <v>126</v>
      </c>
      <c r="J39" s="4" t="s">
        <v>127</v>
      </c>
      <c r="K39" s="4" t="s">
        <v>71</v>
      </c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.1" customHeight="1">
      <c r="A40" s="4" t="s">
        <v>168</v>
      </c>
      <c r="B40" s="4" t="s">
        <v>169</v>
      </c>
      <c r="C40" s="7" t="s">
        <v>1567</v>
      </c>
      <c r="D40" s="4" t="s">
        <v>112</v>
      </c>
      <c r="E40" s="4" t="s">
        <v>13</v>
      </c>
      <c r="F40" s="8">
        <v>1</v>
      </c>
      <c r="G40" s="8">
        <f>SUMIF(位置明细!$A$6:$A$207,A40,位置明细!$E$6:$E$207)</f>
        <v>2</v>
      </c>
      <c r="H40" s="4" t="s">
        <v>125</v>
      </c>
      <c r="I40" s="4" t="s">
        <v>126</v>
      </c>
      <c r="J40" s="4" t="s">
        <v>127</v>
      </c>
      <c r="K40" s="4" t="s">
        <v>71</v>
      </c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.1" customHeight="1">
      <c r="A41" s="4" t="s">
        <v>170</v>
      </c>
      <c r="B41" s="4" t="s">
        <v>171</v>
      </c>
      <c r="C41" s="7" t="s">
        <v>1568</v>
      </c>
      <c r="D41" s="4" t="s">
        <v>112</v>
      </c>
      <c r="E41" s="4" t="s">
        <v>13</v>
      </c>
      <c r="F41" s="8">
        <v>1</v>
      </c>
      <c r="G41" s="8">
        <f>SUMIF(位置明细!$A$6:$A$207,A41,位置明细!$E$6:$E$207)</f>
        <v>1</v>
      </c>
      <c r="H41" s="4" t="s">
        <v>125</v>
      </c>
      <c r="I41" s="4" t="s">
        <v>126</v>
      </c>
      <c r="J41" s="4" t="s">
        <v>127</v>
      </c>
      <c r="K41" s="4" t="s">
        <v>76</v>
      </c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.1" customHeight="1">
      <c r="A42" s="4" t="s">
        <v>172</v>
      </c>
      <c r="B42" s="4" t="s">
        <v>173</v>
      </c>
      <c r="C42" s="7" t="s">
        <v>1562</v>
      </c>
      <c r="D42" s="4" t="s">
        <v>112</v>
      </c>
      <c r="E42" s="4" t="s">
        <v>13</v>
      </c>
      <c r="F42" s="8">
        <v>1</v>
      </c>
      <c r="G42" s="8">
        <f>SUMIF(位置明细!$A$6:$A$207,A42,位置明细!$E$6:$E$207)</f>
        <v>2</v>
      </c>
      <c r="H42" s="4" t="s">
        <v>125</v>
      </c>
      <c r="I42" s="4" t="s">
        <v>126</v>
      </c>
      <c r="J42" s="4" t="s">
        <v>127</v>
      </c>
      <c r="K42" s="4" t="s">
        <v>71</v>
      </c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8.1" customHeight="1">
      <c r="A43" s="4" t="s">
        <v>174</v>
      </c>
      <c r="B43" s="4" t="s">
        <v>175</v>
      </c>
      <c r="C43" s="7" t="s">
        <v>1563</v>
      </c>
      <c r="D43" s="4" t="s">
        <v>112</v>
      </c>
      <c r="E43" s="4" t="s">
        <v>13</v>
      </c>
      <c r="F43" s="8">
        <v>1</v>
      </c>
      <c r="G43" s="8">
        <f>SUMIF(位置明细!$A$6:$A$207,A43,位置明细!$E$6:$E$207)</f>
        <v>3</v>
      </c>
      <c r="H43" s="4" t="s">
        <v>125</v>
      </c>
      <c r="I43" s="4" t="s">
        <v>126</v>
      </c>
      <c r="J43" s="4" t="s">
        <v>127</v>
      </c>
      <c r="K43" s="4" t="s">
        <v>71</v>
      </c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1" customHeight="1">
      <c r="A44" s="4" t="s">
        <v>176</v>
      </c>
      <c r="B44" s="4" t="s">
        <v>177</v>
      </c>
      <c r="C44" s="7" t="s">
        <v>1569</v>
      </c>
      <c r="D44" s="4" t="s">
        <v>112</v>
      </c>
      <c r="E44" s="4" t="s">
        <v>13</v>
      </c>
      <c r="F44" s="8">
        <v>1</v>
      </c>
      <c r="G44" s="8">
        <f>SUMIF(位置明细!$A$6:$A$207,A44,位置明细!$E$6:$E$207)</f>
        <v>2</v>
      </c>
      <c r="H44" s="4" t="s">
        <v>125</v>
      </c>
      <c r="I44" s="4" t="s">
        <v>126</v>
      </c>
      <c r="J44" s="4" t="s">
        <v>127</v>
      </c>
      <c r="K44" s="4" t="s">
        <v>71</v>
      </c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1" customHeight="1">
      <c r="A45" s="4" t="s">
        <v>178</v>
      </c>
      <c r="B45" s="4" t="s">
        <v>179</v>
      </c>
      <c r="C45" s="7" t="s">
        <v>1560</v>
      </c>
      <c r="D45" s="4" t="s">
        <v>112</v>
      </c>
      <c r="E45" s="4" t="s">
        <v>13</v>
      </c>
      <c r="F45" s="8">
        <v>1</v>
      </c>
      <c r="G45" s="8">
        <f>SUMIF(位置明细!$A$6:$A$207,A45,位置明细!$E$6:$E$207)</f>
        <v>1</v>
      </c>
      <c r="H45" s="4" t="s">
        <v>125</v>
      </c>
      <c r="I45" s="4" t="s">
        <v>126</v>
      </c>
      <c r="J45" s="4" t="s">
        <v>127</v>
      </c>
      <c r="K45" s="4" t="s">
        <v>71</v>
      </c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.1" customHeight="1">
      <c r="A46" s="4" t="s">
        <v>180</v>
      </c>
      <c r="B46" s="4" t="s">
        <v>181</v>
      </c>
      <c r="C46" s="7" t="s">
        <v>1570</v>
      </c>
      <c r="D46" s="4" t="s">
        <v>67</v>
      </c>
      <c r="E46" s="4" t="s">
        <v>11</v>
      </c>
      <c r="F46" s="8">
        <v>1</v>
      </c>
      <c r="G46" s="8">
        <f>SUMIF(位置明细!$A$6:$A$207,A46,位置明细!$E$6:$E$207)</f>
        <v>3</v>
      </c>
      <c r="H46" s="4" t="s">
        <v>182</v>
      </c>
      <c r="I46" s="4" t="s">
        <v>183</v>
      </c>
      <c r="J46" s="4" t="s">
        <v>184</v>
      </c>
      <c r="K46" s="4" t="s">
        <v>71</v>
      </c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.1" customHeight="1">
      <c r="A47" s="4" t="s">
        <v>185</v>
      </c>
      <c r="B47" s="4" t="s">
        <v>186</v>
      </c>
      <c r="C47" s="7" t="s">
        <v>1571</v>
      </c>
      <c r="D47" s="4" t="s">
        <v>67</v>
      </c>
      <c r="E47" s="4" t="s">
        <v>11</v>
      </c>
      <c r="F47" s="8">
        <v>1</v>
      </c>
      <c r="G47" s="8">
        <f>SUMIF(位置明细!$A$6:$A$207,A47,位置明细!$E$6:$E$207)</f>
        <v>3</v>
      </c>
      <c r="H47" s="4" t="s">
        <v>182</v>
      </c>
      <c r="I47" s="4" t="s">
        <v>183</v>
      </c>
      <c r="J47" s="4" t="s">
        <v>184</v>
      </c>
      <c r="K47" s="4" t="s">
        <v>71</v>
      </c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8.1" customHeight="1">
      <c r="A48" s="4" t="s">
        <v>187</v>
      </c>
      <c r="B48" s="4" t="s">
        <v>188</v>
      </c>
      <c r="C48" s="7" t="s">
        <v>1572</v>
      </c>
      <c r="D48" s="4" t="s">
        <v>67</v>
      </c>
      <c r="E48" s="4" t="s">
        <v>11</v>
      </c>
      <c r="F48" s="8">
        <v>1</v>
      </c>
      <c r="G48" s="8">
        <f>SUMIF(位置明细!$A$6:$A$207,A48,位置明细!$E$6:$E$207)</f>
        <v>3</v>
      </c>
      <c r="H48" s="4" t="s">
        <v>182</v>
      </c>
      <c r="I48" s="4" t="s">
        <v>183</v>
      </c>
      <c r="J48" s="4" t="s">
        <v>184</v>
      </c>
      <c r="K48" s="4" t="s">
        <v>71</v>
      </c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8.1" customHeight="1">
      <c r="A49" s="4" t="s">
        <v>189</v>
      </c>
      <c r="B49" s="4" t="s">
        <v>190</v>
      </c>
      <c r="C49" s="7" t="s">
        <v>1573</v>
      </c>
      <c r="D49" s="4" t="s">
        <v>67</v>
      </c>
      <c r="E49" s="4" t="s">
        <v>11</v>
      </c>
      <c r="F49" s="8">
        <v>1</v>
      </c>
      <c r="G49" s="8">
        <f>SUMIF(位置明细!$A$6:$A$207,A49,位置明细!$E$6:$E$207)</f>
        <v>3</v>
      </c>
      <c r="H49" s="4" t="s">
        <v>182</v>
      </c>
      <c r="I49" s="4" t="s">
        <v>183</v>
      </c>
      <c r="J49" s="4" t="s">
        <v>184</v>
      </c>
      <c r="K49" s="4" t="s">
        <v>71</v>
      </c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8.1" customHeight="1">
      <c r="A50" s="4" t="s">
        <v>191</v>
      </c>
      <c r="B50" s="4" t="s">
        <v>192</v>
      </c>
      <c r="C50" s="7" t="s">
        <v>1574</v>
      </c>
      <c r="D50" s="4" t="s">
        <v>67</v>
      </c>
      <c r="E50" s="4" t="s">
        <v>11</v>
      </c>
      <c r="F50" s="8">
        <v>1</v>
      </c>
      <c r="G50" s="8">
        <f>SUMIF(位置明细!$A$6:$A$207,A50,位置明细!$E$6:$E$207)</f>
        <v>3</v>
      </c>
      <c r="H50" s="4" t="s">
        <v>182</v>
      </c>
      <c r="I50" s="4" t="s">
        <v>183</v>
      </c>
      <c r="J50" s="4" t="s">
        <v>184</v>
      </c>
      <c r="K50" s="4" t="s">
        <v>71</v>
      </c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.1" customHeight="1">
      <c r="A51" s="4" t="s">
        <v>193</v>
      </c>
      <c r="B51" s="4" t="s">
        <v>194</v>
      </c>
      <c r="C51" s="7" t="s">
        <v>1575</v>
      </c>
      <c r="D51" s="4" t="s">
        <v>67</v>
      </c>
      <c r="E51" s="4" t="s">
        <v>11</v>
      </c>
      <c r="F51" s="8">
        <v>1</v>
      </c>
      <c r="G51" s="8">
        <f>SUMIF(位置明细!$A$6:$A$207,A51,位置明细!$E$6:$E$207)</f>
        <v>4</v>
      </c>
      <c r="H51" s="4" t="s">
        <v>182</v>
      </c>
      <c r="I51" s="4" t="s">
        <v>183</v>
      </c>
      <c r="J51" s="4" t="s">
        <v>184</v>
      </c>
      <c r="K51" s="4" t="s">
        <v>71</v>
      </c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8.1" customHeight="1">
      <c r="A52" s="4" t="s">
        <v>195</v>
      </c>
      <c r="B52" s="4" t="s">
        <v>196</v>
      </c>
      <c r="C52" s="7" t="s">
        <v>1576</v>
      </c>
      <c r="D52" s="4" t="s">
        <v>112</v>
      </c>
      <c r="E52" s="4" t="s">
        <v>13</v>
      </c>
      <c r="F52" s="8">
        <v>1</v>
      </c>
      <c r="G52" s="8">
        <f>SUMIF(位置明细!$A$6:$A$207,A52,位置明细!$E$6:$E$207)</f>
        <v>1</v>
      </c>
      <c r="H52" s="4" t="s">
        <v>182</v>
      </c>
      <c r="I52" s="4" t="s">
        <v>183</v>
      </c>
      <c r="J52" s="4" t="s">
        <v>184</v>
      </c>
      <c r="K52" s="4" t="s">
        <v>71</v>
      </c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3.95" customHeight="1">
      <c r="A53" s="4" t="s">
        <v>197</v>
      </c>
      <c r="B53" s="4" t="s">
        <v>198</v>
      </c>
      <c r="C53" s="7" t="s">
        <v>1577</v>
      </c>
      <c r="D53" s="4" t="s">
        <v>67</v>
      </c>
      <c r="E53" s="4" t="s">
        <v>11</v>
      </c>
      <c r="F53" s="8">
        <v>4</v>
      </c>
      <c r="G53" s="8">
        <f>SUMIF(位置明细!$A$6:$A$207,A53,位置明细!$E$6:$E$207)</f>
        <v>7</v>
      </c>
      <c r="H53" s="4" t="s">
        <v>199</v>
      </c>
      <c r="I53" s="4" t="s">
        <v>200</v>
      </c>
      <c r="J53" s="4" t="s">
        <v>201</v>
      </c>
      <c r="K53" s="4" t="s">
        <v>108</v>
      </c>
      <c r="L53" s="4" t="s">
        <v>109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3.95" customHeight="1">
      <c r="A54" s="4" t="s">
        <v>202</v>
      </c>
      <c r="B54" s="4" t="s">
        <v>203</v>
      </c>
      <c r="C54" s="7" t="s">
        <v>1578</v>
      </c>
      <c r="D54" s="4" t="s">
        <v>67</v>
      </c>
      <c r="E54" s="4" t="s">
        <v>11</v>
      </c>
      <c r="F54" s="8">
        <v>4</v>
      </c>
      <c r="G54" s="8">
        <f>SUMIF(位置明细!$A$6:$A$207,A54,位置明细!$E$6:$E$207)</f>
        <v>6</v>
      </c>
      <c r="H54" s="4" t="s">
        <v>199</v>
      </c>
      <c r="I54" s="4" t="s">
        <v>200</v>
      </c>
      <c r="J54" s="4" t="s">
        <v>201</v>
      </c>
      <c r="K54" s="4" t="s">
        <v>71</v>
      </c>
      <c r="L54" s="4" t="s">
        <v>109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8" customHeight="1">
      <c r="A55" s="4" t="s">
        <v>204</v>
      </c>
      <c r="B55" s="4" t="s">
        <v>205</v>
      </c>
      <c r="C55" s="7" t="s">
        <v>1579</v>
      </c>
      <c r="D55" s="4" t="s">
        <v>67</v>
      </c>
      <c r="E55" s="4" t="s">
        <v>11</v>
      </c>
      <c r="F55" s="8">
        <v>3</v>
      </c>
      <c r="G55" s="8">
        <f>SUMIF(位置明细!$A$6:$A$207,A55,位置明细!$E$6:$E$207)</f>
        <v>6</v>
      </c>
      <c r="H55" s="4" t="s">
        <v>206</v>
      </c>
      <c r="I55" s="4" t="s">
        <v>200</v>
      </c>
      <c r="J55" s="4" t="s">
        <v>207</v>
      </c>
      <c r="K55" s="4" t="s">
        <v>120</v>
      </c>
      <c r="L55" s="4" t="s">
        <v>109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3.95" customHeight="1">
      <c r="A56" s="4" t="s">
        <v>208</v>
      </c>
      <c r="B56" s="4" t="s">
        <v>209</v>
      </c>
      <c r="C56" s="7" t="s">
        <v>1580</v>
      </c>
      <c r="D56" s="4" t="s">
        <v>67</v>
      </c>
      <c r="E56" s="4" t="s">
        <v>11</v>
      </c>
      <c r="F56" s="8">
        <v>4</v>
      </c>
      <c r="G56" s="8">
        <f>SUMIF(位置明细!$A$6:$A$207,A56,位置明细!$E$6:$E$207)</f>
        <v>7</v>
      </c>
      <c r="H56" s="4" t="s">
        <v>199</v>
      </c>
      <c r="I56" s="4" t="s">
        <v>200</v>
      </c>
      <c r="J56" s="4" t="s">
        <v>201</v>
      </c>
      <c r="K56" s="4" t="s">
        <v>120</v>
      </c>
      <c r="L56" s="4" t="s">
        <v>109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8" customHeight="1">
      <c r="A57" s="4" t="s">
        <v>210</v>
      </c>
      <c r="B57" s="4" t="s">
        <v>211</v>
      </c>
      <c r="C57" s="7" t="s">
        <v>1581</v>
      </c>
      <c r="D57" s="4" t="s">
        <v>67</v>
      </c>
      <c r="E57" s="4" t="s">
        <v>11</v>
      </c>
      <c r="F57" s="8">
        <v>3</v>
      </c>
      <c r="G57" s="8">
        <f>SUMIF(位置明细!$A$6:$A$207,A57,位置明细!$E$6:$E$207)</f>
        <v>3</v>
      </c>
      <c r="H57" s="4" t="s">
        <v>206</v>
      </c>
      <c r="I57" s="4" t="s">
        <v>200</v>
      </c>
      <c r="J57" s="4" t="s">
        <v>207</v>
      </c>
      <c r="K57" s="4" t="s">
        <v>212</v>
      </c>
      <c r="L57" s="4" t="s">
        <v>109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8.1" customHeight="1">
      <c r="A58" s="4" t="s">
        <v>213</v>
      </c>
      <c r="B58" s="4" t="s">
        <v>214</v>
      </c>
      <c r="C58" s="7" t="s">
        <v>1582</v>
      </c>
      <c r="D58" s="4" t="s">
        <v>67</v>
      </c>
      <c r="E58" s="4" t="s">
        <v>11</v>
      </c>
      <c r="F58" s="8">
        <v>1</v>
      </c>
      <c r="G58" s="8">
        <f>SUMIF(位置明细!$A$6:$A$207,A58,位置明细!$E$6:$E$207)</f>
        <v>1</v>
      </c>
      <c r="H58" s="4" t="s">
        <v>215</v>
      </c>
      <c r="I58" s="4" t="s">
        <v>216</v>
      </c>
      <c r="J58" s="4" t="s">
        <v>217</v>
      </c>
      <c r="K58" s="4" t="s">
        <v>71</v>
      </c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8" customHeight="1">
      <c r="A59" s="4" t="s">
        <v>218</v>
      </c>
      <c r="B59" s="4" t="s">
        <v>219</v>
      </c>
      <c r="C59" s="7" t="s">
        <v>1583</v>
      </c>
      <c r="D59" s="4" t="s">
        <v>67</v>
      </c>
      <c r="E59" s="4" t="s">
        <v>11</v>
      </c>
      <c r="F59" s="8">
        <v>3</v>
      </c>
      <c r="G59" s="8">
        <f>SUMIF(位置明细!$A$6:$A$207,A59,位置明细!$E$6:$E$207)</f>
        <v>5</v>
      </c>
      <c r="H59" s="4" t="s">
        <v>206</v>
      </c>
      <c r="I59" s="4" t="s">
        <v>200</v>
      </c>
      <c r="J59" s="4" t="s">
        <v>207</v>
      </c>
      <c r="K59" s="4" t="s">
        <v>71</v>
      </c>
      <c r="L59" s="4" t="s">
        <v>109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8.1" customHeight="1">
      <c r="A60" s="4" t="s">
        <v>220</v>
      </c>
      <c r="B60" s="4" t="s">
        <v>221</v>
      </c>
      <c r="C60" s="7" t="s">
        <v>1584</v>
      </c>
      <c r="D60" s="4" t="s">
        <v>67</v>
      </c>
      <c r="E60" s="4" t="s">
        <v>11</v>
      </c>
      <c r="F60" s="8">
        <v>1</v>
      </c>
      <c r="G60" s="8">
        <f>SUMIF(位置明细!$A$6:$A$207,A60,位置明细!$E$6:$E$207)</f>
        <v>1</v>
      </c>
      <c r="H60" s="4" t="s">
        <v>215</v>
      </c>
      <c r="I60" s="4" t="s">
        <v>216</v>
      </c>
      <c r="J60" s="4" t="s">
        <v>217</v>
      </c>
      <c r="K60" s="4" t="s">
        <v>71</v>
      </c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8.1" customHeight="1">
      <c r="A61" s="4" t="s">
        <v>222</v>
      </c>
      <c r="B61" s="4" t="s">
        <v>223</v>
      </c>
      <c r="C61" s="7" t="s">
        <v>1585</v>
      </c>
      <c r="D61" s="4" t="s">
        <v>67</v>
      </c>
      <c r="E61" s="4" t="s">
        <v>11</v>
      </c>
      <c r="F61" s="8">
        <v>2</v>
      </c>
      <c r="G61" s="8">
        <f>SUMIF(位置明细!$A$6:$A$207,A61,位置明细!$E$6:$E$207)</f>
        <v>4</v>
      </c>
      <c r="H61" s="4" t="s">
        <v>224</v>
      </c>
      <c r="I61" s="4" t="s">
        <v>225</v>
      </c>
      <c r="J61" s="4" t="s">
        <v>226</v>
      </c>
      <c r="K61" s="4" t="s">
        <v>71</v>
      </c>
      <c r="L61" s="4" t="s">
        <v>109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8" customHeight="1">
      <c r="A62" s="4" t="s">
        <v>227</v>
      </c>
      <c r="B62" s="4" t="s">
        <v>228</v>
      </c>
      <c r="C62" s="7" t="s">
        <v>1586</v>
      </c>
      <c r="D62" s="4" t="s">
        <v>67</v>
      </c>
      <c r="E62" s="4" t="s">
        <v>11</v>
      </c>
      <c r="F62" s="8">
        <v>3</v>
      </c>
      <c r="G62" s="8">
        <f>SUMIF(位置明细!$A$6:$A$207,A62,位置明细!$E$6:$E$207)</f>
        <v>5</v>
      </c>
      <c r="H62" s="4" t="s">
        <v>206</v>
      </c>
      <c r="I62" s="4" t="s">
        <v>200</v>
      </c>
      <c r="J62" s="4" t="s">
        <v>207</v>
      </c>
      <c r="K62" s="4" t="s">
        <v>71</v>
      </c>
      <c r="L62" s="4" t="s">
        <v>109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8" customHeight="1">
      <c r="A63" s="4" t="s">
        <v>229</v>
      </c>
      <c r="B63" s="4" t="s">
        <v>230</v>
      </c>
      <c r="C63" s="7" t="s">
        <v>1587</v>
      </c>
      <c r="D63" s="4" t="s">
        <v>67</v>
      </c>
      <c r="E63" s="4" t="s">
        <v>11</v>
      </c>
      <c r="F63" s="8">
        <v>3</v>
      </c>
      <c r="G63" s="8">
        <f>SUMIF(位置明细!$A$6:$A$207,A63,位置明细!$E$6:$E$207)</f>
        <v>4</v>
      </c>
      <c r="H63" s="4" t="s">
        <v>231</v>
      </c>
      <c r="I63" s="4" t="s">
        <v>225</v>
      </c>
      <c r="J63" s="4" t="s">
        <v>232</v>
      </c>
      <c r="K63" s="4" t="s">
        <v>139</v>
      </c>
      <c r="L63" s="4" t="s">
        <v>109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8" customHeight="1">
      <c r="A64" s="4" t="s">
        <v>233</v>
      </c>
      <c r="B64" s="4" t="s">
        <v>234</v>
      </c>
      <c r="C64" s="7" t="s">
        <v>1588</v>
      </c>
      <c r="D64" s="4" t="s">
        <v>67</v>
      </c>
      <c r="E64" s="4" t="s">
        <v>11</v>
      </c>
      <c r="F64" s="8">
        <v>3</v>
      </c>
      <c r="G64" s="8">
        <f>SUMIF(位置明细!$A$6:$A$207,A64,位置明细!$E$6:$E$207)</f>
        <v>5</v>
      </c>
      <c r="H64" s="4" t="s">
        <v>231</v>
      </c>
      <c r="I64" s="4" t="s">
        <v>225</v>
      </c>
      <c r="J64" s="4" t="s">
        <v>232</v>
      </c>
      <c r="K64" s="4" t="s">
        <v>71</v>
      </c>
      <c r="L64" s="4" t="s">
        <v>109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8.1" customHeight="1">
      <c r="A65" s="4" t="s">
        <v>235</v>
      </c>
      <c r="B65" s="4" t="s">
        <v>236</v>
      </c>
      <c r="C65" s="7" t="s">
        <v>1589</v>
      </c>
      <c r="D65" s="4" t="s">
        <v>67</v>
      </c>
      <c r="E65" s="4" t="s">
        <v>11</v>
      </c>
      <c r="F65" s="8">
        <v>2</v>
      </c>
      <c r="G65" s="8">
        <f>SUMIF(位置明细!$A$6:$A$207,A65,位置明细!$E$6:$E$207)</f>
        <v>2</v>
      </c>
      <c r="H65" s="4" t="s">
        <v>237</v>
      </c>
      <c r="I65" s="4" t="s">
        <v>238</v>
      </c>
      <c r="J65" s="4" t="s">
        <v>239</v>
      </c>
      <c r="K65" s="4" t="s">
        <v>71</v>
      </c>
      <c r="L65" s="4" t="s">
        <v>109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8.1" customHeight="1">
      <c r="A66" s="4" t="s">
        <v>240</v>
      </c>
      <c r="B66" s="4" t="s">
        <v>241</v>
      </c>
      <c r="C66" s="7" t="s">
        <v>1590</v>
      </c>
      <c r="D66" s="4" t="s">
        <v>67</v>
      </c>
      <c r="E66" s="4" t="s">
        <v>11</v>
      </c>
      <c r="F66" s="8">
        <v>2</v>
      </c>
      <c r="G66" s="8">
        <f>SUMIF(位置明细!$A$6:$A$207,A66,位置明细!$E$6:$E$207)</f>
        <v>2</v>
      </c>
      <c r="H66" s="4" t="s">
        <v>237</v>
      </c>
      <c r="I66" s="4" t="s">
        <v>238</v>
      </c>
      <c r="J66" s="4" t="s">
        <v>239</v>
      </c>
      <c r="K66" s="4" t="s">
        <v>71</v>
      </c>
      <c r="L66" s="4" t="s">
        <v>109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8.1" customHeight="1">
      <c r="A67" s="4" t="s">
        <v>242</v>
      </c>
      <c r="B67" s="4" t="s">
        <v>243</v>
      </c>
      <c r="C67" s="7" t="s">
        <v>1591</v>
      </c>
      <c r="D67" s="4" t="s">
        <v>67</v>
      </c>
      <c r="E67" s="4" t="s">
        <v>11</v>
      </c>
      <c r="F67" s="8">
        <v>1</v>
      </c>
      <c r="G67" s="8">
        <f>SUMIF(位置明细!$A$6:$A$207,A67,位置明细!$E$6:$E$207)</f>
        <v>1</v>
      </c>
      <c r="H67" s="4" t="s">
        <v>244</v>
      </c>
      <c r="I67" s="4" t="s">
        <v>245</v>
      </c>
      <c r="J67" s="4" t="s">
        <v>246</v>
      </c>
      <c r="K67" s="4" t="s">
        <v>71</v>
      </c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8.1" customHeight="1">
      <c r="A68" s="4" t="s">
        <v>247</v>
      </c>
      <c r="B68" s="4" t="s">
        <v>248</v>
      </c>
      <c r="C68" s="7" t="s">
        <v>1592</v>
      </c>
      <c r="D68" s="4" t="s">
        <v>67</v>
      </c>
      <c r="E68" s="4" t="s">
        <v>11</v>
      </c>
      <c r="F68" s="8">
        <v>1</v>
      </c>
      <c r="G68" s="8">
        <f>SUMIF(位置明细!$A$6:$A$207,A68,位置明细!$E$6:$E$207)</f>
        <v>1</v>
      </c>
      <c r="H68" s="4" t="s">
        <v>244</v>
      </c>
      <c r="I68" s="4" t="s">
        <v>245</v>
      </c>
      <c r="J68" s="4" t="s">
        <v>246</v>
      </c>
      <c r="K68" s="4" t="s">
        <v>71</v>
      </c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8.1" customHeight="1">
      <c r="A69" s="4" t="s">
        <v>249</v>
      </c>
      <c r="B69" s="4" t="s">
        <v>250</v>
      </c>
      <c r="C69" s="7" t="s">
        <v>1593</v>
      </c>
      <c r="D69" s="4" t="s">
        <v>67</v>
      </c>
      <c r="E69" s="4" t="s">
        <v>11</v>
      </c>
      <c r="F69" s="8">
        <v>2</v>
      </c>
      <c r="G69" s="8">
        <f>SUMIF(位置明细!$A$6:$A$207,A69,位置明细!$E$6:$E$207)</f>
        <v>11</v>
      </c>
      <c r="H69" s="4" t="s">
        <v>251</v>
      </c>
      <c r="I69" s="4" t="s">
        <v>252</v>
      </c>
      <c r="J69" s="4" t="s">
        <v>253</v>
      </c>
      <c r="K69" s="4" t="s">
        <v>71</v>
      </c>
      <c r="L69" s="4" t="s">
        <v>109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8.1" customHeight="1">
      <c r="A70" s="4" t="s">
        <v>254</v>
      </c>
      <c r="B70" s="4" t="s">
        <v>255</v>
      </c>
      <c r="C70" s="7" t="s">
        <v>1594</v>
      </c>
      <c r="D70" s="4" t="s">
        <v>67</v>
      </c>
      <c r="E70" s="4" t="s">
        <v>11</v>
      </c>
      <c r="F70" s="8">
        <v>2</v>
      </c>
      <c r="G70" s="8">
        <f>SUMIF(位置明细!$A$6:$A$207,A70,位置明细!$E$6:$E$207)</f>
        <v>8</v>
      </c>
      <c r="H70" s="4" t="s">
        <v>251</v>
      </c>
      <c r="I70" s="4" t="s">
        <v>252</v>
      </c>
      <c r="J70" s="4" t="s">
        <v>253</v>
      </c>
      <c r="K70" s="4" t="s">
        <v>71</v>
      </c>
      <c r="L70" s="4" t="s">
        <v>109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8.1" customHeight="1">
      <c r="A71" s="4" t="s">
        <v>256</v>
      </c>
      <c r="B71" s="4" t="s">
        <v>257</v>
      </c>
      <c r="C71" s="7" t="s">
        <v>1595</v>
      </c>
      <c r="D71" s="4" t="s">
        <v>67</v>
      </c>
      <c r="E71" s="4" t="s">
        <v>11</v>
      </c>
      <c r="F71" s="8">
        <v>2</v>
      </c>
      <c r="G71" s="8">
        <f>SUMIF(位置明细!$A$6:$A$207,A71,位置明细!$E$6:$E$207)</f>
        <v>2</v>
      </c>
      <c r="H71" s="4" t="s">
        <v>258</v>
      </c>
      <c r="I71" s="4" t="s">
        <v>238</v>
      </c>
      <c r="J71" s="4" t="s">
        <v>259</v>
      </c>
      <c r="K71" s="4" t="s">
        <v>139</v>
      </c>
      <c r="L71" s="4" t="s">
        <v>109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.1" customHeight="1">
      <c r="A72" s="4" t="s">
        <v>260</v>
      </c>
      <c r="B72" s="4" t="s">
        <v>261</v>
      </c>
      <c r="C72" s="7" t="s">
        <v>261</v>
      </c>
      <c r="D72" s="4" t="s">
        <v>112</v>
      </c>
      <c r="E72" s="4" t="s">
        <v>13</v>
      </c>
      <c r="F72" s="8">
        <v>2</v>
      </c>
      <c r="G72" s="8">
        <f>SUMIF(位置明细!$A$6:$A$207,A72,位置明细!$E$6:$E$207)</f>
        <v>3</v>
      </c>
      <c r="H72" s="4" t="s">
        <v>258</v>
      </c>
      <c r="I72" s="4" t="s">
        <v>238</v>
      </c>
      <c r="J72" s="4" t="s">
        <v>259</v>
      </c>
      <c r="K72" s="4" t="s">
        <v>71</v>
      </c>
      <c r="L72" s="4" t="s">
        <v>109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8.1" customHeight="1">
      <c r="A73" s="4" t="s">
        <v>262</v>
      </c>
      <c r="B73" s="4" t="s">
        <v>263</v>
      </c>
      <c r="C73" s="7" t="s">
        <v>1596</v>
      </c>
      <c r="D73" s="4" t="s">
        <v>112</v>
      </c>
      <c r="E73" s="4" t="s">
        <v>13</v>
      </c>
      <c r="F73" s="8">
        <v>1</v>
      </c>
      <c r="G73" s="8">
        <f>SUMIF(位置明细!$A$6:$A$207,A73,位置明细!$E$6:$E$207)</f>
        <v>1</v>
      </c>
      <c r="H73" s="4" t="s">
        <v>264</v>
      </c>
      <c r="I73" s="4" t="s">
        <v>245</v>
      </c>
      <c r="J73" s="4" t="s">
        <v>246</v>
      </c>
      <c r="K73" s="4" t="s">
        <v>71</v>
      </c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8.1" customHeight="1">
      <c r="A74" s="4" t="s">
        <v>265</v>
      </c>
      <c r="B74" s="4" t="s">
        <v>266</v>
      </c>
      <c r="C74" s="7" t="s">
        <v>1597</v>
      </c>
      <c r="D74" s="4" t="s">
        <v>67</v>
      </c>
      <c r="E74" s="4" t="s">
        <v>11</v>
      </c>
      <c r="F74" s="8">
        <v>2</v>
      </c>
      <c r="G74" s="8">
        <f>SUMIF(位置明细!$A$6:$A$207,A74,位置明细!$E$6:$E$207)</f>
        <v>2</v>
      </c>
      <c r="H74" s="4" t="s">
        <v>258</v>
      </c>
      <c r="I74" s="4" t="s">
        <v>238</v>
      </c>
      <c r="J74" s="4" t="s">
        <v>259</v>
      </c>
      <c r="K74" s="4" t="s">
        <v>108</v>
      </c>
      <c r="L74" s="4" t="s">
        <v>109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8.1" customHeight="1">
      <c r="A75" s="4" t="s">
        <v>267</v>
      </c>
      <c r="B75" s="4" t="s">
        <v>268</v>
      </c>
      <c r="C75" s="7" t="s">
        <v>1598</v>
      </c>
      <c r="D75" s="4" t="s">
        <v>67</v>
      </c>
      <c r="E75" s="4" t="s">
        <v>11</v>
      </c>
      <c r="F75" s="8">
        <v>1</v>
      </c>
      <c r="G75" s="8">
        <f>SUMIF(位置明细!$A$6:$A$207,A75,位置明细!$E$6:$E$207)</f>
        <v>1</v>
      </c>
      <c r="H75" s="4" t="s">
        <v>269</v>
      </c>
      <c r="I75" s="4" t="s">
        <v>216</v>
      </c>
      <c r="J75" s="4" t="s">
        <v>270</v>
      </c>
      <c r="K75" s="4" t="s">
        <v>71</v>
      </c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8.1" customHeight="1">
      <c r="A76" s="4" t="s">
        <v>271</v>
      </c>
      <c r="B76" s="4" t="s">
        <v>272</v>
      </c>
      <c r="C76" s="7" t="s">
        <v>1599</v>
      </c>
      <c r="D76" s="4" t="s">
        <v>67</v>
      </c>
      <c r="E76" s="4" t="s">
        <v>11</v>
      </c>
      <c r="F76" s="8">
        <v>1</v>
      </c>
      <c r="G76" s="8">
        <f>SUMIF(位置明细!$A$6:$A$207,A76,位置明细!$E$6:$E$207)</f>
        <v>1</v>
      </c>
      <c r="H76" s="4" t="s">
        <v>269</v>
      </c>
      <c r="I76" s="4" t="s">
        <v>216</v>
      </c>
      <c r="J76" s="4" t="s">
        <v>270</v>
      </c>
      <c r="K76" s="4" t="s">
        <v>71</v>
      </c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8.1" customHeight="1">
      <c r="A77" s="4" t="s">
        <v>273</v>
      </c>
      <c r="B77" s="4" t="s">
        <v>274</v>
      </c>
      <c r="C77" s="7" t="s">
        <v>1600</v>
      </c>
      <c r="D77" s="4" t="s">
        <v>67</v>
      </c>
      <c r="E77" s="4" t="s">
        <v>11</v>
      </c>
      <c r="F77" s="8">
        <v>1</v>
      </c>
      <c r="G77" s="8">
        <f>SUMIF(位置明细!$A$6:$A$207,A77,位置明细!$E$6:$E$207)</f>
        <v>1</v>
      </c>
      <c r="H77" s="4" t="s">
        <v>269</v>
      </c>
      <c r="I77" s="4" t="s">
        <v>216</v>
      </c>
      <c r="J77" s="4" t="s">
        <v>270</v>
      </c>
      <c r="K77" s="4" t="s">
        <v>76</v>
      </c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8.1" customHeight="1">
      <c r="A78" s="4" t="s">
        <v>275</v>
      </c>
      <c r="B78" s="4" t="s">
        <v>276</v>
      </c>
      <c r="C78" s="7" t="s">
        <v>1601</v>
      </c>
      <c r="D78" s="4" t="s">
        <v>67</v>
      </c>
      <c r="E78" s="4" t="s">
        <v>11</v>
      </c>
      <c r="F78" s="8">
        <v>1</v>
      </c>
      <c r="G78" s="8">
        <f>SUMIF(位置明细!$A$6:$A$207,A78,位置明细!$E$6:$E$207)</f>
        <v>1</v>
      </c>
      <c r="H78" s="4" t="s">
        <v>269</v>
      </c>
      <c r="I78" s="4" t="s">
        <v>216</v>
      </c>
      <c r="J78" s="4" t="s">
        <v>270</v>
      </c>
      <c r="K78" s="4" t="s">
        <v>71</v>
      </c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8.1" customHeight="1">
      <c r="A79" s="4" t="s">
        <v>277</v>
      </c>
      <c r="B79" s="4" t="s">
        <v>278</v>
      </c>
      <c r="C79" s="7" t="s">
        <v>1602</v>
      </c>
      <c r="D79" s="4" t="s">
        <v>67</v>
      </c>
      <c r="E79" s="4" t="s">
        <v>11</v>
      </c>
      <c r="F79" s="8">
        <v>1</v>
      </c>
      <c r="G79" s="8">
        <f>SUMIF(位置明细!$A$6:$A$207,A79,位置明细!$E$6:$E$207)</f>
        <v>1</v>
      </c>
      <c r="H79" s="4" t="s">
        <v>269</v>
      </c>
      <c r="I79" s="4" t="s">
        <v>216</v>
      </c>
      <c r="J79" s="4" t="s">
        <v>270</v>
      </c>
      <c r="K79" s="4" t="s">
        <v>71</v>
      </c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8.1" customHeight="1">
      <c r="A80" s="4" t="s">
        <v>279</v>
      </c>
      <c r="B80" s="4" t="s">
        <v>280</v>
      </c>
      <c r="C80" s="7" t="s">
        <v>1603</v>
      </c>
      <c r="D80" s="4" t="s">
        <v>67</v>
      </c>
      <c r="E80" s="4" t="s">
        <v>11</v>
      </c>
      <c r="F80" s="8">
        <v>1</v>
      </c>
      <c r="G80" s="8">
        <f>SUMIF(位置明细!$A$6:$A$207,A80,位置明细!$E$6:$E$207)</f>
        <v>1</v>
      </c>
      <c r="H80" s="4" t="s">
        <v>269</v>
      </c>
      <c r="I80" s="4" t="s">
        <v>216</v>
      </c>
      <c r="J80" s="4" t="s">
        <v>270</v>
      </c>
      <c r="K80" s="4" t="s">
        <v>76</v>
      </c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8.1" customHeight="1">
      <c r="A81" s="4" t="s">
        <v>281</v>
      </c>
      <c r="B81" s="4" t="s">
        <v>282</v>
      </c>
      <c r="C81" s="7" t="s">
        <v>1604</v>
      </c>
      <c r="D81" s="4" t="s">
        <v>67</v>
      </c>
      <c r="E81" s="4" t="s">
        <v>11</v>
      </c>
      <c r="F81" s="8">
        <v>1</v>
      </c>
      <c r="G81" s="8">
        <f>SUMIF(位置明细!$A$6:$A$207,A81,位置明细!$E$6:$E$207)</f>
        <v>1</v>
      </c>
      <c r="H81" s="4" t="s">
        <v>269</v>
      </c>
      <c r="I81" s="4" t="s">
        <v>216</v>
      </c>
      <c r="J81" s="4" t="s">
        <v>270</v>
      </c>
      <c r="K81" s="4" t="s">
        <v>76</v>
      </c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8.1" customHeight="1">
      <c r="A82" s="4" t="s">
        <v>283</v>
      </c>
      <c r="B82" s="4" t="s">
        <v>284</v>
      </c>
      <c r="C82" s="7" t="s">
        <v>1605</v>
      </c>
      <c r="D82" s="4" t="s">
        <v>67</v>
      </c>
      <c r="E82" s="4" t="s">
        <v>11</v>
      </c>
      <c r="F82" s="8">
        <v>1</v>
      </c>
      <c r="G82" s="8">
        <f>SUMIF(位置明细!$A$6:$A$207,A82,位置明细!$E$6:$E$207)</f>
        <v>2</v>
      </c>
      <c r="H82" s="4" t="s">
        <v>269</v>
      </c>
      <c r="I82" s="4" t="s">
        <v>216</v>
      </c>
      <c r="J82" s="4" t="s">
        <v>270</v>
      </c>
      <c r="K82" s="4" t="s">
        <v>71</v>
      </c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8.1" customHeight="1">
      <c r="A83" s="4" t="s">
        <v>285</v>
      </c>
      <c r="B83" s="4" t="s">
        <v>286</v>
      </c>
      <c r="C83" s="7" t="s">
        <v>1606</v>
      </c>
      <c r="D83" s="4" t="s">
        <v>67</v>
      </c>
      <c r="E83" s="4" t="s">
        <v>11</v>
      </c>
      <c r="F83" s="8">
        <v>1</v>
      </c>
      <c r="G83" s="8">
        <f>SUMIF(位置明细!$A$6:$A$207,A83,位置明细!$E$6:$E$207)</f>
        <v>3</v>
      </c>
      <c r="H83" s="4" t="s">
        <v>269</v>
      </c>
      <c r="I83" s="4" t="s">
        <v>216</v>
      </c>
      <c r="J83" s="4" t="s">
        <v>270</v>
      </c>
      <c r="K83" s="4" t="s">
        <v>71</v>
      </c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8.1" customHeight="1">
      <c r="A84" s="4" t="s">
        <v>287</v>
      </c>
      <c r="B84" s="4" t="s">
        <v>288</v>
      </c>
      <c r="C84" s="7" t="s">
        <v>1607</v>
      </c>
      <c r="D84" s="4" t="s">
        <v>67</v>
      </c>
      <c r="E84" s="4" t="s">
        <v>11</v>
      </c>
      <c r="F84" s="8">
        <v>1</v>
      </c>
      <c r="G84" s="8">
        <f>SUMIF(位置明细!$A$6:$A$207,A84,位置明细!$E$6:$E$207)</f>
        <v>4</v>
      </c>
      <c r="H84" s="4" t="s">
        <v>269</v>
      </c>
      <c r="I84" s="4" t="s">
        <v>216</v>
      </c>
      <c r="J84" s="4" t="s">
        <v>270</v>
      </c>
      <c r="K84" s="4" t="s">
        <v>71</v>
      </c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8.1" customHeight="1">
      <c r="A85" s="4" t="s">
        <v>289</v>
      </c>
      <c r="B85" s="4" t="s">
        <v>290</v>
      </c>
      <c r="C85" s="7" t="s">
        <v>1608</v>
      </c>
      <c r="D85" s="4" t="s">
        <v>67</v>
      </c>
      <c r="E85" s="4" t="s">
        <v>11</v>
      </c>
      <c r="F85" s="8">
        <v>1</v>
      </c>
      <c r="G85" s="8">
        <f>SUMIF(位置明细!$A$6:$A$207,A85,位置明细!$E$6:$E$207)</f>
        <v>1</v>
      </c>
      <c r="H85" s="4" t="s">
        <v>269</v>
      </c>
      <c r="I85" s="4" t="s">
        <v>216</v>
      </c>
      <c r="J85" s="4" t="s">
        <v>270</v>
      </c>
      <c r="K85" s="4" t="s">
        <v>76</v>
      </c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8.1" customHeight="1">
      <c r="A86" s="4" t="s">
        <v>291</v>
      </c>
      <c r="B86" s="4" t="s">
        <v>292</v>
      </c>
      <c r="C86" s="7" t="s">
        <v>292</v>
      </c>
      <c r="D86" s="4" t="s">
        <v>293</v>
      </c>
      <c r="E86" s="4" t="s">
        <v>13</v>
      </c>
      <c r="F86" s="8">
        <v>1</v>
      </c>
      <c r="G86" s="8">
        <f>SUMIF(位置明细!$A$6:$A$207,A86,位置明细!$E$6:$E$207)</f>
        <v>3</v>
      </c>
      <c r="H86" s="4" t="s">
        <v>269</v>
      </c>
      <c r="I86" s="4" t="s">
        <v>216</v>
      </c>
      <c r="J86" s="4" t="s">
        <v>270</v>
      </c>
      <c r="K86" s="4" t="s">
        <v>71</v>
      </c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8.1" customHeight="1">
      <c r="A87" s="4" t="s">
        <v>294</v>
      </c>
      <c r="B87" s="4" t="s">
        <v>295</v>
      </c>
      <c r="C87" s="7" t="s">
        <v>295</v>
      </c>
      <c r="D87" s="4" t="s">
        <v>293</v>
      </c>
      <c r="E87" s="4" t="s">
        <v>13</v>
      </c>
      <c r="F87" s="8">
        <v>1</v>
      </c>
      <c r="G87" s="8">
        <f>SUMIF(位置明细!$A$6:$A$207,A87,位置明细!$E$6:$E$207)</f>
        <v>1</v>
      </c>
      <c r="H87" s="4" t="s">
        <v>269</v>
      </c>
      <c r="I87" s="4" t="s">
        <v>216</v>
      </c>
      <c r="J87" s="4" t="s">
        <v>270</v>
      </c>
      <c r="K87" s="4" t="s">
        <v>76</v>
      </c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8.1" customHeight="1">
      <c r="A88" s="4" t="s">
        <v>296</v>
      </c>
      <c r="B88" s="4" t="s">
        <v>297</v>
      </c>
      <c r="C88" s="7" t="s">
        <v>297</v>
      </c>
      <c r="D88" s="4" t="s">
        <v>293</v>
      </c>
      <c r="E88" s="4" t="s">
        <v>13</v>
      </c>
      <c r="F88" s="8">
        <v>1</v>
      </c>
      <c r="G88" s="8">
        <f>SUMIF(位置明细!$A$6:$A$207,A88,位置明细!$E$6:$E$207)</f>
        <v>2</v>
      </c>
      <c r="H88" s="4" t="s">
        <v>269</v>
      </c>
      <c r="I88" s="4" t="s">
        <v>216</v>
      </c>
      <c r="J88" s="4" t="s">
        <v>270</v>
      </c>
      <c r="K88" s="4" t="s">
        <v>71</v>
      </c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8.1" customHeight="1">
      <c r="A89" s="4" t="s">
        <v>298</v>
      </c>
      <c r="B89" s="4" t="s">
        <v>299</v>
      </c>
      <c r="C89" s="7" t="s">
        <v>299</v>
      </c>
      <c r="D89" s="4" t="s">
        <v>293</v>
      </c>
      <c r="E89" s="4" t="s">
        <v>13</v>
      </c>
      <c r="F89" s="8">
        <v>1</v>
      </c>
      <c r="G89" s="8">
        <f>SUMIF(位置明细!$A$6:$A$207,A89,位置明细!$E$6:$E$207)</f>
        <v>1</v>
      </c>
      <c r="H89" s="4" t="s">
        <v>269</v>
      </c>
      <c r="I89" s="4" t="s">
        <v>216</v>
      </c>
      <c r="J89" s="4" t="s">
        <v>270</v>
      </c>
      <c r="K89" s="4" t="s">
        <v>76</v>
      </c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8.1" customHeight="1">
      <c r="A90" s="4" t="s">
        <v>300</v>
      </c>
      <c r="B90" s="4" t="s">
        <v>301</v>
      </c>
      <c r="C90" s="7" t="s">
        <v>1609</v>
      </c>
      <c r="D90" s="4" t="s">
        <v>67</v>
      </c>
      <c r="E90" s="4" t="s">
        <v>11</v>
      </c>
      <c r="F90" s="8">
        <v>1</v>
      </c>
      <c r="G90" s="8">
        <f>SUMIF(位置明细!$A$6:$A$207,A90,位置明细!$E$6:$E$207)</f>
        <v>5</v>
      </c>
      <c r="H90" s="4" t="s">
        <v>269</v>
      </c>
      <c r="I90" s="4" t="s">
        <v>216</v>
      </c>
      <c r="J90" s="4" t="s">
        <v>270</v>
      </c>
      <c r="K90" s="4" t="s">
        <v>71</v>
      </c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8.1" customHeight="1">
      <c r="A91" s="4" t="s">
        <v>302</v>
      </c>
      <c r="B91" s="4" t="s">
        <v>303</v>
      </c>
      <c r="C91" s="7" t="s">
        <v>1610</v>
      </c>
      <c r="D91" s="4" t="s">
        <v>67</v>
      </c>
      <c r="E91" s="4" t="s">
        <v>11</v>
      </c>
      <c r="F91" s="8">
        <v>1</v>
      </c>
      <c r="G91" s="8">
        <f>SUMIF(位置明细!$A$6:$A$207,A91,位置明细!$E$6:$E$207)</f>
        <v>1</v>
      </c>
      <c r="H91" s="4" t="s">
        <v>269</v>
      </c>
      <c r="I91" s="4" t="s">
        <v>216</v>
      </c>
      <c r="J91" s="4" t="s">
        <v>270</v>
      </c>
      <c r="K91" s="4" t="s">
        <v>71</v>
      </c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8.1" customHeight="1">
      <c r="A92" s="4" t="s">
        <v>304</v>
      </c>
      <c r="B92" s="4" t="s">
        <v>305</v>
      </c>
      <c r="C92" s="7" t="s">
        <v>1611</v>
      </c>
      <c r="D92" s="4" t="s">
        <v>67</v>
      </c>
      <c r="E92" s="4" t="s">
        <v>11</v>
      </c>
      <c r="F92" s="8">
        <v>1</v>
      </c>
      <c r="G92" s="8">
        <f>SUMIF(位置明细!$A$6:$A$207,A92,位置明细!$E$6:$E$207)</f>
        <v>1</v>
      </c>
      <c r="H92" s="4" t="s">
        <v>269</v>
      </c>
      <c r="I92" s="4" t="s">
        <v>216</v>
      </c>
      <c r="J92" s="4" t="s">
        <v>270</v>
      </c>
      <c r="K92" s="4" t="s">
        <v>71</v>
      </c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8.1" customHeight="1">
      <c r="A93" s="4" t="s">
        <v>306</v>
      </c>
      <c r="B93" s="4" t="s">
        <v>307</v>
      </c>
      <c r="C93" s="7" t="s">
        <v>1612</v>
      </c>
      <c r="D93" s="4" t="s">
        <v>67</v>
      </c>
      <c r="E93" s="4" t="s">
        <v>11</v>
      </c>
      <c r="F93" s="8">
        <v>1</v>
      </c>
      <c r="G93" s="8">
        <f>SUMIF(位置明细!$A$6:$A$207,A93,位置明细!$E$6:$E$207)</f>
        <v>3</v>
      </c>
      <c r="H93" s="4" t="s">
        <v>269</v>
      </c>
      <c r="I93" s="4" t="s">
        <v>216</v>
      </c>
      <c r="J93" s="4" t="s">
        <v>270</v>
      </c>
      <c r="K93" s="4" t="s">
        <v>71</v>
      </c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8.1" customHeight="1">
      <c r="A94" s="4" t="s">
        <v>308</v>
      </c>
      <c r="B94" s="4" t="s">
        <v>309</v>
      </c>
      <c r="C94" s="7" t="s">
        <v>1613</v>
      </c>
      <c r="D94" s="4" t="s">
        <v>112</v>
      </c>
      <c r="E94" s="4" t="s">
        <v>13</v>
      </c>
      <c r="F94" s="8">
        <v>1</v>
      </c>
      <c r="G94" s="8">
        <f>SUMIF(位置明细!$A$6:$A$207,A94,位置明细!$E$6:$E$207)</f>
        <v>5</v>
      </c>
      <c r="H94" s="4" t="s">
        <v>269</v>
      </c>
      <c r="I94" s="4" t="s">
        <v>216</v>
      </c>
      <c r="J94" s="4" t="s">
        <v>270</v>
      </c>
      <c r="K94" s="4" t="s">
        <v>71</v>
      </c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8.1" customHeight="1">
      <c r="A95" s="4" t="s">
        <v>310</v>
      </c>
      <c r="B95" s="4" t="s">
        <v>311</v>
      </c>
      <c r="C95" s="7" t="s">
        <v>1614</v>
      </c>
      <c r="D95" s="4" t="s">
        <v>112</v>
      </c>
      <c r="E95" s="4" t="s">
        <v>13</v>
      </c>
      <c r="F95" s="8">
        <v>1</v>
      </c>
      <c r="G95" s="8">
        <f>SUMIF(位置明细!$A$6:$A$207,A95,位置明细!$E$6:$E$207)</f>
        <v>5</v>
      </c>
      <c r="H95" s="4" t="s">
        <v>269</v>
      </c>
      <c r="I95" s="4" t="s">
        <v>216</v>
      </c>
      <c r="J95" s="4" t="s">
        <v>270</v>
      </c>
      <c r="K95" s="4" t="s">
        <v>71</v>
      </c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8.1" customHeight="1">
      <c r="A96" s="4" t="s">
        <v>312</v>
      </c>
      <c r="B96" s="4" t="s">
        <v>313</v>
      </c>
      <c r="C96" s="7" t="s">
        <v>1615</v>
      </c>
      <c r="D96" s="4" t="s">
        <v>112</v>
      </c>
      <c r="E96" s="4" t="s">
        <v>13</v>
      </c>
      <c r="F96" s="8">
        <v>1</v>
      </c>
      <c r="G96" s="8">
        <f>SUMIF(位置明细!$A$6:$A$207,A96,位置明细!$E$6:$E$207)</f>
        <v>1</v>
      </c>
      <c r="H96" s="4" t="s">
        <v>269</v>
      </c>
      <c r="I96" s="4" t="s">
        <v>216</v>
      </c>
      <c r="J96" s="4" t="s">
        <v>270</v>
      </c>
      <c r="K96" s="4" t="s">
        <v>71</v>
      </c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8.1" customHeight="1">
      <c r="A97" s="4" t="s">
        <v>314</v>
      </c>
      <c r="B97" s="4" t="s">
        <v>315</v>
      </c>
      <c r="C97" s="7" t="s">
        <v>315</v>
      </c>
      <c r="D97" s="4" t="s">
        <v>293</v>
      </c>
      <c r="E97" s="4" t="s">
        <v>13</v>
      </c>
      <c r="F97" s="8">
        <v>1</v>
      </c>
      <c r="G97" s="8">
        <f>SUMIF(位置明细!$A$6:$A$207,A97,位置明细!$E$6:$E$207)</f>
        <v>1</v>
      </c>
      <c r="H97" s="4" t="s">
        <v>269</v>
      </c>
      <c r="I97" s="4" t="s">
        <v>216</v>
      </c>
      <c r="J97" s="4" t="s">
        <v>270</v>
      </c>
      <c r="K97" s="4" t="s">
        <v>76</v>
      </c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8.1" customHeight="1">
      <c r="A98" s="4" t="s">
        <v>316</v>
      </c>
      <c r="B98" s="4" t="s">
        <v>317</v>
      </c>
      <c r="C98" s="7" t="s">
        <v>317</v>
      </c>
      <c r="D98" s="4" t="s">
        <v>293</v>
      </c>
      <c r="E98" s="4" t="s">
        <v>13</v>
      </c>
      <c r="F98" s="8">
        <v>1</v>
      </c>
      <c r="G98" s="8">
        <f>SUMIF(位置明细!$A$6:$A$207,A98,位置明细!$E$6:$E$207)</f>
        <v>6</v>
      </c>
      <c r="H98" s="4" t="s">
        <v>269</v>
      </c>
      <c r="I98" s="4" t="s">
        <v>216</v>
      </c>
      <c r="J98" s="4" t="s">
        <v>270</v>
      </c>
      <c r="K98" s="4" t="s">
        <v>76</v>
      </c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8.1" customHeight="1">
      <c r="A99" s="4" t="s">
        <v>318</v>
      </c>
      <c r="B99" s="4" t="s">
        <v>319</v>
      </c>
      <c r="C99" s="7" t="s">
        <v>1616</v>
      </c>
      <c r="D99" s="4" t="s">
        <v>67</v>
      </c>
      <c r="E99" s="4" t="s">
        <v>11</v>
      </c>
      <c r="F99" s="8">
        <v>1</v>
      </c>
      <c r="G99" s="8">
        <f>SUMIF(位置明细!$A$6:$A$207,A99,位置明细!$E$6:$E$207)</f>
        <v>1</v>
      </c>
      <c r="H99" s="4" t="s">
        <v>320</v>
      </c>
      <c r="I99" s="4" t="s">
        <v>216</v>
      </c>
      <c r="J99" s="4" t="s">
        <v>270</v>
      </c>
      <c r="K99" s="4" t="s">
        <v>71</v>
      </c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8.1" customHeight="1">
      <c r="A100" s="4" t="s">
        <v>321</v>
      </c>
      <c r="B100" s="4" t="s">
        <v>322</v>
      </c>
      <c r="C100" s="7" t="s">
        <v>1617</v>
      </c>
      <c r="D100" s="4" t="s">
        <v>67</v>
      </c>
      <c r="E100" s="4" t="s">
        <v>11</v>
      </c>
      <c r="F100" s="8">
        <v>1</v>
      </c>
      <c r="G100" s="8">
        <f>SUMIF(位置明细!$A$6:$A$207,A100,位置明细!$E$6:$E$207)</f>
        <v>1</v>
      </c>
      <c r="H100" s="4" t="s">
        <v>320</v>
      </c>
      <c r="I100" s="4" t="s">
        <v>216</v>
      </c>
      <c r="J100" s="4" t="s">
        <v>270</v>
      </c>
      <c r="K100" s="4" t="s">
        <v>71</v>
      </c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8.1" customHeight="1">
      <c r="A101" s="4" t="s">
        <v>323</v>
      </c>
      <c r="B101" s="4" t="s">
        <v>324</v>
      </c>
      <c r="C101" s="7" t="s">
        <v>1618</v>
      </c>
      <c r="D101" s="4" t="s">
        <v>67</v>
      </c>
      <c r="E101" s="4" t="s">
        <v>11</v>
      </c>
      <c r="F101" s="8">
        <v>1</v>
      </c>
      <c r="G101" s="8">
        <f>SUMIF(位置明细!$A$6:$A$207,A101,位置明细!$E$6:$E$207)</f>
        <v>1</v>
      </c>
      <c r="H101" s="4" t="s">
        <v>320</v>
      </c>
      <c r="I101" s="4" t="s">
        <v>216</v>
      </c>
      <c r="J101" s="4" t="s">
        <v>270</v>
      </c>
      <c r="K101" s="4" t="s">
        <v>71</v>
      </c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8.1" customHeight="1">
      <c r="A102" s="4" t="s">
        <v>325</v>
      </c>
      <c r="B102" s="4" t="s">
        <v>326</v>
      </c>
      <c r="C102" s="7" t="s">
        <v>1619</v>
      </c>
      <c r="D102" s="4" t="s">
        <v>67</v>
      </c>
      <c r="E102" s="4" t="s">
        <v>11</v>
      </c>
      <c r="F102" s="8">
        <v>1</v>
      </c>
      <c r="G102" s="8">
        <f>SUMIF(位置明细!$A$6:$A$207,A102,位置明细!$E$6:$E$207)</f>
        <v>1</v>
      </c>
      <c r="H102" s="4" t="s">
        <v>320</v>
      </c>
      <c r="I102" s="4" t="s">
        <v>216</v>
      </c>
      <c r="J102" s="4" t="s">
        <v>270</v>
      </c>
      <c r="K102" s="4" t="s">
        <v>71</v>
      </c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8.1" customHeight="1">
      <c r="A103" s="4" t="s">
        <v>327</v>
      </c>
      <c r="B103" s="4" t="s">
        <v>328</v>
      </c>
      <c r="C103" s="7" t="s">
        <v>1620</v>
      </c>
      <c r="D103" s="4" t="s">
        <v>67</v>
      </c>
      <c r="E103" s="4" t="s">
        <v>11</v>
      </c>
      <c r="F103" s="8">
        <v>1</v>
      </c>
      <c r="G103" s="8">
        <f>SUMIF(位置明细!$A$6:$A$207,A103,位置明细!$E$6:$E$207)</f>
        <v>1</v>
      </c>
      <c r="H103" s="4" t="s">
        <v>320</v>
      </c>
      <c r="I103" s="4" t="s">
        <v>216</v>
      </c>
      <c r="J103" s="4" t="s">
        <v>270</v>
      </c>
      <c r="K103" s="4" t="s">
        <v>71</v>
      </c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8.1" customHeight="1">
      <c r="A104" s="4" t="s">
        <v>329</v>
      </c>
      <c r="B104" s="4" t="s">
        <v>330</v>
      </c>
      <c r="C104" s="7" t="s">
        <v>1621</v>
      </c>
      <c r="D104" s="4" t="s">
        <v>67</v>
      </c>
      <c r="E104" s="4" t="s">
        <v>11</v>
      </c>
      <c r="F104" s="8">
        <v>1</v>
      </c>
      <c r="G104" s="8">
        <f>SUMIF(位置明细!$A$6:$A$207,A104,位置明细!$E$6:$E$207)</f>
        <v>1</v>
      </c>
      <c r="H104" s="4" t="s">
        <v>320</v>
      </c>
      <c r="I104" s="4" t="s">
        <v>216</v>
      </c>
      <c r="J104" s="4" t="s">
        <v>270</v>
      </c>
      <c r="K104" s="4" t="s">
        <v>71</v>
      </c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8.1" customHeight="1">
      <c r="A105" s="4" t="s">
        <v>331</v>
      </c>
      <c r="B105" s="4" t="s">
        <v>332</v>
      </c>
      <c r="C105" s="7" t="s">
        <v>1622</v>
      </c>
      <c r="D105" s="4" t="s">
        <v>67</v>
      </c>
      <c r="E105" s="4" t="s">
        <v>11</v>
      </c>
      <c r="F105" s="8">
        <v>1</v>
      </c>
      <c r="G105" s="8">
        <f>SUMIF(位置明细!$A$6:$A$207,A105,位置明细!$E$6:$E$207)</f>
        <v>1</v>
      </c>
      <c r="H105" s="4" t="s">
        <v>320</v>
      </c>
      <c r="I105" s="4" t="s">
        <v>216</v>
      </c>
      <c r="J105" s="4" t="s">
        <v>270</v>
      </c>
      <c r="K105" s="4" t="s">
        <v>71</v>
      </c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8.1" customHeight="1">
      <c r="A106" s="4" t="s">
        <v>333</v>
      </c>
      <c r="B106" s="4" t="s">
        <v>334</v>
      </c>
      <c r="C106" s="7" t="s">
        <v>1623</v>
      </c>
      <c r="D106" s="4" t="s">
        <v>67</v>
      </c>
      <c r="E106" s="4" t="s">
        <v>11</v>
      </c>
      <c r="F106" s="8">
        <v>1</v>
      </c>
      <c r="G106" s="8">
        <f>SUMIF(位置明细!$A$6:$A$207,A106,位置明细!$E$6:$E$207)</f>
        <v>1</v>
      </c>
      <c r="H106" s="4" t="s">
        <v>320</v>
      </c>
      <c r="I106" s="4" t="s">
        <v>216</v>
      </c>
      <c r="J106" s="4" t="s">
        <v>270</v>
      </c>
      <c r="K106" s="4" t="s">
        <v>71</v>
      </c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8.1" customHeight="1">
      <c r="A107" s="4" t="s">
        <v>335</v>
      </c>
      <c r="B107" s="4" t="s">
        <v>336</v>
      </c>
      <c r="C107" s="7" t="s">
        <v>1624</v>
      </c>
      <c r="D107" s="4" t="s">
        <v>67</v>
      </c>
      <c r="E107" s="4" t="s">
        <v>11</v>
      </c>
      <c r="F107" s="8">
        <v>1</v>
      </c>
      <c r="G107" s="8">
        <f>SUMIF(位置明细!$A$6:$A$207,A107,位置明细!$E$6:$E$207)</f>
        <v>1</v>
      </c>
      <c r="H107" s="4" t="s">
        <v>320</v>
      </c>
      <c r="I107" s="4" t="s">
        <v>216</v>
      </c>
      <c r="J107" s="4" t="s">
        <v>270</v>
      </c>
      <c r="K107" s="4" t="s">
        <v>71</v>
      </c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8.1" customHeight="1">
      <c r="A108" s="4" t="s">
        <v>337</v>
      </c>
      <c r="B108" s="4" t="s">
        <v>338</v>
      </c>
      <c r="C108" s="7" t="s">
        <v>1625</v>
      </c>
      <c r="D108" s="4" t="s">
        <v>67</v>
      </c>
      <c r="E108" s="4" t="s">
        <v>11</v>
      </c>
      <c r="F108" s="8">
        <v>1</v>
      </c>
      <c r="G108" s="8">
        <f>SUMIF(位置明细!$A$6:$A$207,A108,位置明细!$E$6:$E$207)</f>
        <v>1</v>
      </c>
      <c r="H108" s="4" t="s">
        <v>320</v>
      </c>
      <c r="I108" s="4" t="s">
        <v>216</v>
      </c>
      <c r="J108" s="4" t="s">
        <v>270</v>
      </c>
      <c r="K108" s="4" t="s">
        <v>71</v>
      </c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8.1" customHeight="1">
      <c r="A109" s="4" t="s">
        <v>339</v>
      </c>
      <c r="B109" s="4" t="s">
        <v>340</v>
      </c>
      <c r="C109" s="7" t="s">
        <v>340</v>
      </c>
      <c r="D109" s="4" t="s">
        <v>67</v>
      </c>
      <c r="E109" s="4" t="s">
        <v>11</v>
      </c>
      <c r="F109" s="8">
        <v>1</v>
      </c>
      <c r="G109" s="8">
        <f>SUMIF(位置明细!$A$6:$A$207,A109,位置明细!$E$6:$E$207)</f>
        <v>3</v>
      </c>
      <c r="H109" s="4" t="s">
        <v>320</v>
      </c>
      <c r="I109" s="4" t="s">
        <v>216</v>
      </c>
      <c r="J109" s="4" t="s">
        <v>270</v>
      </c>
      <c r="K109" s="4" t="s">
        <v>71</v>
      </c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8.1" customHeight="1">
      <c r="A110" s="4" t="s">
        <v>341</v>
      </c>
      <c r="B110" s="4" t="s">
        <v>342</v>
      </c>
      <c r="C110" s="7" t="s">
        <v>1626</v>
      </c>
      <c r="D110" s="4" t="s">
        <v>67</v>
      </c>
      <c r="E110" s="4" t="s">
        <v>11</v>
      </c>
      <c r="F110" s="8">
        <v>1</v>
      </c>
      <c r="G110" s="8">
        <f>SUMIF(位置明细!$A$6:$A$207,A110,位置明细!$E$6:$E$207)</f>
        <v>1</v>
      </c>
      <c r="H110" s="4" t="s">
        <v>320</v>
      </c>
      <c r="I110" s="4" t="s">
        <v>216</v>
      </c>
      <c r="J110" s="4" t="s">
        <v>270</v>
      </c>
      <c r="K110" s="4" t="s">
        <v>76</v>
      </c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8.1" customHeight="1">
      <c r="A111" s="4" t="s">
        <v>343</v>
      </c>
      <c r="B111" s="4" t="s">
        <v>344</v>
      </c>
      <c r="C111" s="7" t="s">
        <v>1627</v>
      </c>
      <c r="D111" s="4" t="s">
        <v>67</v>
      </c>
      <c r="E111" s="4" t="s">
        <v>11</v>
      </c>
      <c r="F111" s="8">
        <v>1</v>
      </c>
      <c r="G111" s="8">
        <f>SUMIF(位置明细!$A$6:$A$207,A111,位置明细!$E$6:$E$207)</f>
        <v>1</v>
      </c>
      <c r="H111" s="4" t="s">
        <v>345</v>
      </c>
      <c r="I111" s="4" t="s">
        <v>216</v>
      </c>
      <c r="J111" s="4" t="s">
        <v>346</v>
      </c>
      <c r="K111" s="4" t="s">
        <v>76</v>
      </c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8.1" customHeight="1">
      <c r="A112" s="4" t="s">
        <v>347</v>
      </c>
      <c r="B112" s="4" t="s">
        <v>348</v>
      </c>
      <c r="C112" s="7" t="s">
        <v>1628</v>
      </c>
      <c r="D112" s="4" t="s">
        <v>67</v>
      </c>
      <c r="E112" s="4" t="s">
        <v>11</v>
      </c>
      <c r="F112" s="8">
        <v>1</v>
      </c>
      <c r="G112" s="8">
        <f>SUMIF(位置明细!$A$6:$A$207,A112,位置明细!$E$6:$E$207)</f>
        <v>1</v>
      </c>
      <c r="H112" s="4" t="s">
        <v>345</v>
      </c>
      <c r="I112" s="4" t="s">
        <v>216</v>
      </c>
      <c r="J112" s="4" t="s">
        <v>346</v>
      </c>
      <c r="K112" s="4" t="s">
        <v>76</v>
      </c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8.1" customHeight="1">
      <c r="A113" s="4" t="s">
        <v>349</v>
      </c>
      <c r="B113" s="4" t="s">
        <v>350</v>
      </c>
      <c r="C113" s="7" t="s">
        <v>1629</v>
      </c>
      <c r="D113" s="4" t="s">
        <v>112</v>
      </c>
      <c r="E113" s="4" t="s">
        <v>13</v>
      </c>
      <c r="F113" s="8">
        <v>1</v>
      </c>
      <c r="G113" s="8">
        <f>SUMIF(位置明细!$A$6:$A$207,A113,位置明细!$E$6:$E$207)</f>
        <v>1</v>
      </c>
      <c r="H113" s="4" t="s">
        <v>345</v>
      </c>
      <c r="I113" s="4" t="s">
        <v>216</v>
      </c>
      <c r="J113" s="4" t="s">
        <v>346</v>
      </c>
      <c r="K113" s="4" t="s">
        <v>71</v>
      </c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8.1" customHeight="1">
      <c r="A114" s="4" t="s">
        <v>351</v>
      </c>
      <c r="B114" s="4" t="s">
        <v>352</v>
      </c>
      <c r="C114" s="7" t="s">
        <v>1630</v>
      </c>
      <c r="D114" s="4" t="s">
        <v>67</v>
      </c>
      <c r="E114" s="4" t="s">
        <v>11</v>
      </c>
      <c r="F114" s="8">
        <v>1</v>
      </c>
      <c r="G114" s="8">
        <f>SUMIF(位置明细!$A$6:$A$207,A114,位置明细!$E$6:$E$207)</f>
        <v>1</v>
      </c>
      <c r="H114" s="4" t="s">
        <v>345</v>
      </c>
      <c r="I114" s="4" t="s">
        <v>216</v>
      </c>
      <c r="J114" s="4" t="s">
        <v>346</v>
      </c>
      <c r="K114" s="4" t="s">
        <v>71</v>
      </c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8.1" customHeight="1">
      <c r="A115" s="4" t="s">
        <v>353</v>
      </c>
      <c r="B115" s="4" t="s">
        <v>354</v>
      </c>
      <c r="C115" s="7" t="s">
        <v>1631</v>
      </c>
      <c r="D115" s="4" t="s">
        <v>67</v>
      </c>
      <c r="E115" s="4" t="s">
        <v>11</v>
      </c>
      <c r="F115" s="8">
        <v>1</v>
      </c>
      <c r="G115" s="8">
        <f>SUMIF(位置明细!$A$6:$A$207,A115,位置明细!$E$6:$E$207)</f>
        <v>1</v>
      </c>
      <c r="H115" s="4" t="s">
        <v>345</v>
      </c>
      <c r="I115" s="4" t="s">
        <v>216</v>
      </c>
      <c r="J115" s="4" t="s">
        <v>346</v>
      </c>
      <c r="K115" s="4" t="s">
        <v>71</v>
      </c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8.1" customHeight="1">
      <c r="A116" s="4" t="s">
        <v>355</v>
      </c>
      <c r="B116" s="4" t="s">
        <v>356</v>
      </c>
      <c r="C116" s="7" t="s">
        <v>1632</v>
      </c>
      <c r="D116" s="4" t="s">
        <v>67</v>
      </c>
      <c r="E116" s="4" t="s">
        <v>11</v>
      </c>
      <c r="F116" s="8">
        <v>1</v>
      </c>
      <c r="G116" s="8">
        <f>SUMIF(位置明细!$A$6:$A$207,A116,位置明细!$E$6:$E$207)</f>
        <v>1</v>
      </c>
      <c r="H116" s="4" t="s">
        <v>345</v>
      </c>
      <c r="I116" s="4" t="s">
        <v>216</v>
      </c>
      <c r="J116" s="4" t="s">
        <v>346</v>
      </c>
      <c r="K116" s="4" t="s">
        <v>357</v>
      </c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8.1" customHeight="1">
      <c r="A117" s="4" t="s">
        <v>358</v>
      </c>
      <c r="B117" s="4" t="s">
        <v>359</v>
      </c>
      <c r="C117" s="7" t="s">
        <v>1633</v>
      </c>
      <c r="D117" s="4" t="s">
        <v>67</v>
      </c>
      <c r="E117" s="4" t="s">
        <v>11</v>
      </c>
      <c r="F117" s="8">
        <v>1</v>
      </c>
      <c r="G117" s="8">
        <f>SUMIF(位置明细!$A$6:$A$207,A117,位置明细!$E$6:$E$207)</f>
        <v>1</v>
      </c>
      <c r="H117" s="4" t="s">
        <v>345</v>
      </c>
      <c r="I117" s="4" t="s">
        <v>216</v>
      </c>
      <c r="J117" s="4" t="s">
        <v>346</v>
      </c>
      <c r="K117" s="4" t="s">
        <v>357</v>
      </c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8.1" customHeight="1">
      <c r="A118" s="4" t="s">
        <v>360</v>
      </c>
      <c r="B118" s="4" t="s">
        <v>361</v>
      </c>
      <c r="C118" s="7" t="s">
        <v>1634</v>
      </c>
      <c r="D118" s="4" t="s">
        <v>67</v>
      </c>
      <c r="E118" s="4" t="s">
        <v>11</v>
      </c>
      <c r="F118" s="8">
        <v>1</v>
      </c>
      <c r="G118" s="8">
        <f>SUMIF(位置明细!$A$6:$A$207,A118,位置明细!$E$6:$E$207)</f>
        <v>1</v>
      </c>
      <c r="H118" s="4" t="s">
        <v>345</v>
      </c>
      <c r="I118" s="4" t="s">
        <v>216</v>
      </c>
      <c r="J118" s="4" t="s">
        <v>346</v>
      </c>
      <c r="K118" s="4" t="s">
        <v>76</v>
      </c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8.1" customHeight="1">
      <c r="A119" s="4" t="s">
        <v>362</v>
      </c>
      <c r="B119" s="4" t="s">
        <v>363</v>
      </c>
      <c r="C119" s="7" t="s">
        <v>1635</v>
      </c>
      <c r="D119" s="4" t="s">
        <v>67</v>
      </c>
      <c r="E119" s="4" t="s">
        <v>11</v>
      </c>
      <c r="F119" s="8">
        <v>1</v>
      </c>
      <c r="G119" s="8">
        <f>SUMIF(位置明细!$A$6:$A$207,A119,位置明细!$E$6:$E$207)</f>
        <v>1</v>
      </c>
      <c r="H119" s="4" t="s">
        <v>345</v>
      </c>
      <c r="I119" s="4" t="s">
        <v>216</v>
      </c>
      <c r="J119" s="4" t="s">
        <v>346</v>
      </c>
      <c r="K119" s="4" t="s">
        <v>76</v>
      </c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8.1" customHeight="1">
      <c r="A120" s="4" t="s">
        <v>364</v>
      </c>
      <c r="B120" s="4" t="s">
        <v>365</v>
      </c>
      <c r="C120" s="7" t="s">
        <v>1014</v>
      </c>
      <c r="D120" s="4" t="s">
        <v>67</v>
      </c>
      <c r="E120" s="4" t="s">
        <v>11</v>
      </c>
      <c r="F120" s="8">
        <v>1</v>
      </c>
      <c r="G120" s="8">
        <f>SUMIF(位置明细!$A$6:$A$207,A120,位置明细!$E$6:$E$207)</f>
        <v>1</v>
      </c>
      <c r="H120" s="4" t="s">
        <v>345</v>
      </c>
      <c r="I120" s="4" t="s">
        <v>216</v>
      </c>
      <c r="J120" s="4" t="s">
        <v>346</v>
      </c>
      <c r="K120" s="4" t="s">
        <v>357</v>
      </c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8.1" customHeight="1">
      <c r="A121" s="4" t="s">
        <v>366</v>
      </c>
      <c r="B121" s="4" t="s">
        <v>367</v>
      </c>
      <c r="C121" s="7" t="s">
        <v>1636</v>
      </c>
      <c r="D121" s="4" t="s">
        <v>67</v>
      </c>
      <c r="E121" s="4" t="s">
        <v>11</v>
      </c>
      <c r="F121" s="8">
        <v>1</v>
      </c>
      <c r="G121" s="8">
        <f>SUMIF(位置明细!$A$6:$A$207,A121,位置明细!$E$6:$E$207)</f>
        <v>1</v>
      </c>
      <c r="H121" s="4" t="s">
        <v>345</v>
      </c>
      <c r="I121" s="4" t="s">
        <v>216</v>
      </c>
      <c r="J121" s="4" t="s">
        <v>346</v>
      </c>
      <c r="K121" s="4" t="s">
        <v>71</v>
      </c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8.1" customHeight="1">
      <c r="A122" s="4" t="s">
        <v>368</v>
      </c>
      <c r="B122" s="4" t="s">
        <v>369</v>
      </c>
      <c r="C122" s="7" t="s">
        <v>369</v>
      </c>
      <c r="D122" s="4" t="s">
        <v>67</v>
      </c>
      <c r="E122" s="4" t="s">
        <v>11</v>
      </c>
      <c r="F122" s="8">
        <v>1</v>
      </c>
      <c r="G122" s="8">
        <f>SUMIF(位置明细!$A$6:$A$207,A122,位置明细!$E$6:$E$207)</f>
        <v>1</v>
      </c>
      <c r="H122" s="4" t="s">
        <v>345</v>
      </c>
      <c r="I122" s="4" t="s">
        <v>216</v>
      </c>
      <c r="J122" s="4" t="s">
        <v>346</v>
      </c>
      <c r="K122" s="4" t="s">
        <v>71</v>
      </c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8.1" customHeight="1">
      <c r="A123" s="4" t="s">
        <v>370</v>
      </c>
      <c r="B123" s="4" t="s">
        <v>371</v>
      </c>
      <c r="C123" s="7" t="s">
        <v>371</v>
      </c>
      <c r="D123" s="4" t="s">
        <v>67</v>
      </c>
      <c r="E123" s="4" t="s">
        <v>11</v>
      </c>
      <c r="F123" s="8">
        <v>1</v>
      </c>
      <c r="G123" s="8">
        <f>SUMIF(位置明细!$A$6:$A$207,A123,位置明细!$E$6:$E$207)</f>
        <v>1</v>
      </c>
      <c r="H123" s="4" t="s">
        <v>345</v>
      </c>
      <c r="I123" s="4" t="s">
        <v>216</v>
      </c>
      <c r="J123" s="4" t="s">
        <v>346</v>
      </c>
      <c r="K123" s="4" t="s">
        <v>71</v>
      </c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8.1" customHeight="1">
      <c r="A124" s="4" t="s">
        <v>372</v>
      </c>
      <c r="B124" s="4" t="s">
        <v>373</v>
      </c>
      <c r="C124" s="7" t="s">
        <v>1637</v>
      </c>
      <c r="D124" s="4" t="s">
        <v>67</v>
      </c>
      <c r="E124" s="4" t="s">
        <v>11</v>
      </c>
      <c r="F124" s="8">
        <v>1</v>
      </c>
      <c r="G124" s="8">
        <f>SUMIF(位置明细!$A$6:$A$207,A124,位置明细!$E$6:$E$207)</f>
        <v>1</v>
      </c>
      <c r="H124" s="4" t="s">
        <v>345</v>
      </c>
      <c r="I124" s="4" t="s">
        <v>216</v>
      </c>
      <c r="J124" s="4" t="s">
        <v>346</v>
      </c>
      <c r="K124" s="4" t="s">
        <v>71</v>
      </c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8.1" customHeight="1">
      <c r="A125" s="4" t="s">
        <v>374</v>
      </c>
      <c r="B125" s="4" t="s">
        <v>375</v>
      </c>
      <c r="C125" s="7" t="s">
        <v>1638</v>
      </c>
      <c r="D125" s="4" t="s">
        <v>112</v>
      </c>
      <c r="E125" s="4" t="s">
        <v>13</v>
      </c>
      <c r="F125" s="8">
        <v>1</v>
      </c>
      <c r="G125" s="8">
        <f>SUMIF(位置明细!$A$6:$A$207,A125,位置明细!$E$6:$E$207)</f>
        <v>1</v>
      </c>
      <c r="H125" s="4" t="s">
        <v>345</v>
      </c>
      <c r="I125" s="4" t="s">
        <v>216</v>
      </c>
      <c r="J125" s="4" t="s">
        <v>346</v>
      </c>
      <c r="K125" s="4" t="s">
        <v>71</v>
      </c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8.1" customHeight="1">
      <c r="A126" s="4" t="s">
        <v>376</v>
      </c>
      <c r="B126" s="4" t="s">
        <v>377</v>
      </c>
      <c r="C126" s="7" t="s">
        <v>1639</v>
      </c>
      <c r="D126" s="4" t="s">
        <v>67</v>
      </c>
      <c r="E126" s="4" t="s">
        <v>11</v>
      </c>
      <c r="F126" s="8">
        <v>1</v>
      </c>
      <c r="G126" s="8">
        <f>SUMIF(位置明细!$A$6:$A$207,A126,位置明细!$E$6:$E$207)</f>
        <v>1</v>
      </c>
      <c r="H126" s="4" t="s">
        <v>378</v>
      </c>
      <c r="I126" s="4" t="s">
        <v>216</v>
      </c>
      <c r="J126" s="4" t="s">
        <v>379</v>
      </c>
      <c r="K126" s="4" t="s">
        <v>76</v>
      </c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8.1" customHeight="1">
      <c r="A127" s="4" t="s">
        <v>380</v>
      </c>
      <c r="B127" s="4" t="s">
        <v>381</v>
      </c>
      <c r="C127" s="7" t="s">
        <v>1640</v>
      </c>
      <c r="D127" s="4" t="s">
        <v>67</v>
      </c>
      <c r="E127" s="4" t="s">
        <v>11</v>
      </c>
      <c r="F127" s="8">
        <v>1</v>
      </c>
      <c r="G127" s="8">
        <f>SUMIF(位置明细!$A$6:$A$207,A127,位置明细!$E$6:$E$207)</f>
        <v>1</v>
      </c>
      <c r="H127" s="4" t="s">
        <v>378</v>
      </c>
      <c r="I127" s="4" t="s">
        <v>216</v>
      </c>
      <c r="J127" s="4" t="s">
        <v>379</v>
      </c>
      <c r="K127" s="4" t="s">
        <v>76</v>
      </c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8.1" customHeight="1">
      <c r="A128" s="4" t="s">
        <v>382</v>
      </c>
      <c r="B128" s="4" t="s">
        <v>383</v>
      </c>
      <c r="C128" s="7" t="s">
        <v>1641</v>
      </c>
      <c r="D128" s="4" t="s">
        <v>67</v>
      </c>
      <c r="E128" s="4" t="s">
        <v>11</v>
      </c>
      <c r="F128" s="8">
        <v>1</v>
      </c>
      <c r="G128" s="8">
        <f>SUMIF(位置明细!$A$6:$A$207,A128,位置明细!$E$6:$E$207)</f>
        <v>1</v>
      </c>
      <c r="H128" s="4" t="s">
        <v>378</v>
      </c>
      <c r="I128" s="4" t="s">
        <v>216</v>
      </c>
      <c r="J128" s="4" t="s">
        <v>379</v>
      </c>
      <c r="K128" s="4" t="s">
        <v>357</v>
      </c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8.1" customHeight="1">
      <c r="A129" s="4" t="s">
        <v>384</v>
      </c>
      <c r="B129" s="4" t="s">
        <v>385</v>
      </c>
      <c r="C129" s="7" t="s">
        <v>1642</v>
      </c>
      <c r="D129" s="4" t="s">
        <v>67</v>
      </c>
      <c r="E129" s="4" t="s">
        <v>11</v>
      </c>
      <c r="F129" s="8">
        <v>1</v>
      </c>
      <c r="G129" s="8">
        <f>SUMIF(位置明细!$A$6:$A$207,A129,位置明细!$E$6:$E$207)</f>
        <v>1</v>
      </c>
      <c r="H129" s="4" t="s">
        <v>378</v>
      </c>
      <c r="I129" s="4" t="s">
        <v>216</v>
      </c>
      <c r="J129" s="4" t="s">
        <v>379</v>
      </c>
      <c r="K129" s="4" t="s">
        <v>71</v>
      </c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8.1" customHeight="1">
      <c r="A130" s="4" t="s">
        <v>386</v>
      </c>
      <c r="B130" s="4" t="s">
        <v>387</v>
      </c>
      <c r="C130" s="7" t="s">
        <v>1643</v>
      </c>
      <c r="D130" s="4" t="s">
        <v>67</v>
      </c>
      <c r="E130" s="4" t="s">
        <v>11</v>
      </c>
      <c r="F130" s="8">
        <v>1</v>
      </c>
      <c r="G130" s="8">
        <f>SUMIF(位置明细!$A$6:$A$207,A130,位置明细!$E$6:$E$207)</f>
        <v>1</v>
      </c>
      <c r="H130" s="4" t="s">
        <v>388</v>
      </c>
      <c r="I130" s="4" t="s">
        <v>389</v>
      </c>
      <c r="J130" s="4" t="s">
        <v>390</v>
      </c>
      <c r="K130" s="4" t="s">
        <v>71</v>
      </c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8.1" customHeight="1">
      <c r="A131" s="4" t="s">
        <v>391</v>
      </c>
      <c r="B131" s="4" t="s">
        <v>392</v>
      </c>
      <c r="C131" s="7" t="s">
        <v>1644</v>
      </c>
      <c r="D131" s="4" t="s">
        <v>67</v>
      </c>
      <c r="E131" s="4" t="s">
        <v>11</v>
      </c>
      <c r="F131" s="8">
        <v>1</v>
      </c>
      <c r="G131" s="8">
        <f>SUMIF(位置明细!$A$6:$A$207,A131,位置明细!$E$6:$E$207)</f>
        <v>1</v>
      </c>
      <c r="H131" s="4" t="s">
        <v>388</v>
      </c>
      <c r="I131" s="4" t="s">
        <v>389</v>
      </c>
      <c r="J131" s="4" t="s">
        <v>390</v>
      </c>
      <c r="K131" s="4" t="s">
        <v>76</v>
      </c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8.1" customHeight="1">
      <c r="A132" s="4" t="s">
        <v>393</v>
      </c>
      <c r="B132" s="4" t="s">
        <v>394</v>
      </c>
      <c r="C132" s="7" t="s">
        <v>1645</v>
      </c>
      <c r="D132" s="4" t="s">
        <v>67</v>
      </c>
      <c r="E132" s="4" t="s">
        <v>11</v>
      </c>
      <c r="F132" s="8">
        <v>1</v>
      </c>
      <c r="G132" s="8">
        <f>SUMIF(位置明细!$A$6:$A$207,A132,位置明细!$E$6:$E$207)</f>
        <v>1</v>
      </c>
      <c r="H132" s="4" t="s">
        <v>388</v>
      </c>
      <c r="I132" s="4" t="s">
        <v>389</v>
      </c>
      <c r="J132" s="4" t="s">
        <v>390</v>
      </c>
      <c r="K132" s="4" t="s">
        <v>71</v>
      </c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8.1" customHeight="1">
      <c r="A133" s="4" t="s">
        <v>395</v>
      </c>
      <c r="B133" s="4" t="s">
        <v>396</v>
      </c>
      <c r="C133" s="7" t="s">
        <v>1646</v>
      </c>
      <c r="D133" s="4" t="s">
        <v>67</v>
      </c>
      <c r="E133" s="4" t="s">
        <v>11</v>
      </c>
      <c r="F133" s="8">
        <v>1</v>
      </c>
      <c r="G133" s="8">
        <f>SUMIF(位置明细!$A$6:$A$207,A133,位置明细!$E$6:$E$207)</f>
        <v>1</v>
      </c>
      <c r="H133" s="4" t="s">
        <v>388</v>
      </c>
      <c r="I133" s="4" t="s">
        <v>389</v>
      </c>
      <c r="J133" s="4" t="s">
        <v>390</v>
      </c>
      <c r="K133" s="4" t="s">
        <v>71</v>
      </c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8.1" customHeight="1">
      <c r="A134" s="4" t="s">
        <v>397</v>
      </c>
      <c r="B134" s="4" t="s">
        <v>398</v>
      </c>
      <c r="C134" s="7" t="s">
        <v>1647</v>
      </c>
      <c r="D134" s="4" t="s">
        <v>67</v>
      </c>
      <c r="E134" s="4" t="s">
        <v>11</v>
      </c>
      <c r="F134" s="8">
        <v>1</v>
      </c>
      <c r="G134" s="8">
        <f>SUMIF(位置明细!$A$6:$A$207,A134,位置明细!$E$6:$E$207)</f>
        <v>1</v>
      </c>
      <c r="H134" s="4" t="s">
        <v>388</v>
      </c>
      <c r="I134" s="4" t="s">
        <v>389</v>
      </c>
      <c r="J134" s="4" t="s">
        <v>390</v>
      </c>
      <c r="K134" s="4" t="s">
        <v>71</v>
      </c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8.1" customHeight="1">
      <c r="A135" s="4" t="s">
        <v>399</v>
      </c>
      <c r="B135" s="4" t="s">
        <v>400</v>
      </c>
      <c r="C135" s="7" t="s">
        <v>1648</v>
      </c>
      <c r="D135" s="4" t="s">
        <v>67</v>
      </c>
      <c r="E135" s="4" t="s">
        <v>11</v>
      </c>
      <c r="F135" s="8">
        <v>1</v>
      </c>
      <c r="G135" s="8">
        <f>SUMIF(位置明细!$A$6:$A$207,A135,位置明细!$E$6:$E$207)</f>
        <v>1</v>
      </c>
      <c r="H135" s="4" t="s">
        <v>388</v>
      </c>
      <c r="I135" s="4" t="s">
        <v>389</v>
      </c>
      <c r="J135" s="4" t="s">
        <v>390</v>
      </c>
      <c r="K135" s="4" t="s">
        <v>71</v>
      </c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8.1" customHeight="1">
      <c r="A136" s="4" t="s">
        <v>401</v>
      </c>
      <c r="B136" s="4" t="s">
        <v>402</v>
      </c>
      <c r="C136" s="7" t="s">
        <v>1649</v>
      </c>
      <c r="D136" s="4" t="s">
        <v>67</v>
      </c>
      <c r="E136" s="4" t="s">
        <v>11</v>
      </c>
      <c r="F136" s="8">
        <v>1</v>
      </c>
      <c r="G136" s="8">
        <f>SUMIF(位置明细!$A$6:$A$207,A136,位置明细!$E$6:$E$207)</f>
        <v>3</v>
      </c>
      <c r="H136" s="4" t="s">
        <v>403</v>
      </c>
      <c r="I136" s="4" t="s">
        <v>183</v>
      </c>
      <c r="J136" s="4" t="s">
        <v>404</v>
      </c>
      <c r="K136" s="4" t="s">
        <v>71</v>
      </c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8.1" customHeight="1">
      <c r="A137" s="4" t="s">
        <v>405</v>
      </c>
      <c r="B137" s="4" t="s">
        <v>406</v>
      </c>
      <c r="C137" s="7" t="s">
        <v>1650</v>
      </c>
      <c r="D137" s="4" t="s">
        <v>67</v>
      </c>
      <c r="E137" s="4" t="s">
        <v>11</v>
      </c>
      <c r="F137" s="8">
        <v>1</v>
      </c>
      <c r="G137" s="8">
        <f>SUMIF(位置明细!$A$6:$A$207,A137,位置明细!$E$6:$E$207)</f>
        <v>3</v>
      </c>
      <c r="H137" s="4" t="s">
        <v>403</v>
      </c>
      <c r="I137" s="4" t="s">
        <v>183</v>
      </c>
      <c r="J137" s="4" t="s">
        <v>404</v>
      </c>
      <c r="K137" s="4" t="s">
        <v>71</v>
      </c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8.1" customHeight="1">
      <c r="A138" s="4" t="s">
        <v>407</v>
      </c>
      <c r="B138" s="4" t="s">
        <v>408</v>
      </c>
      <c r="C138" s="7" t="s">
        <v>1651</v>
      </c>
      <c r="D138" s="4" t="s">
        <v>67</v>
      </c>
      <c r="E138" s="4" t="s">
        <v>11</v>
      </c>
      <c r="F138" s="8">
        <v>2</v>
      </c>
      <c r="G138" s="8">
        <f>SUMIF(位置明细!$A$6:$A$207,A138,位置明细!$E$6:$E$207)</f>
        <v>3</v>
      </c>
      <c r="H138" s="4" t="s">
        <v>409</v>
      </c>
      <c r="I138" s="4" t="s">
        <v>183</v>
      </c>
      <c r="J138" s="4" t="s">
        <v>404</v>
      </c>
      <c r="K138" s="4" t="s">
        <v>410</v>
      </c>
      <c r="L138" s="4" t="s">
        <v>109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8.1" customHeight="1">
      <c r="A139" s="4" t="s">
        <v>411</v>
      </c>
      <c r="B139" s="4" t="s">
        <v>412</v>
      </c>
      <c r="C139" s="7" t="s">
        <v>1652</v>
      </c>
      <c r="D139" s="4" t="s">
        <v>67</v>
      </c>
      <c r="E139" s="4" t="s">
        <v>11</v>
      </c>
      <c r="F139" s="8">
        <v>1</v>
      </c>
      <c r="G139" s="8">
        <f>SUMIF(位置明细!$A$6:$A$207,A139,位置明细!$E$6:$E$207)</f>
        <v>1</v>
      </c>
      <c r="H139" s="4" t="s">
        <v>413</v>
      </c>
      <c r="I139" s="4" t="s">
        <v>216</v>
      </c>
      <c r="J139" s="4" t="s">
        <v>414</v>
      </c>
      <c r="K139" s="4" t="s">
        <v>357</v>
      </c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8.1" customHeight="1">
      <c r="A140" s="4" t="s">
        <v>415</v>
      </c>
      <c r="B140" s="4" t="s">
        <v>416</v>
      </c>
      <c r="C140" s="7" t="s">
        <v>1653</v>
      </c>
      <c r="D140" s="4" t="s">
        <v>67</v>
      </c>
      <c r="E140" s="4" t="s">
        <v>11</v>
      </c>
      <c r="F140" s="8">
        <v>1</v>
      </c>
      <c r="G140" s="8">
        <f>SUMIF(位置明细!$A$6:$A$207,A140,位置明细!$E$6:$E$207)</f>
        <v>1</v>
      </c>
      <c r="H140" s="4" t="s">
        <v>413</v>
      </c>
      <c r="I140" s="4" t="s">
        <v>216</v>
      </c>
      <c r="J140" s="4" t="s">
        <v>414</v>
      </c>
      <c r="K140" s="4" t="s">
        <v>76</v>
      </c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8.1" customHeight="1">
      <c r="A141" s="4" t="s">
        <v>417</v>
      </c>
      <c r="B141" s="4" t="s">
        <v>418</v>
      </c>
      <c r="C141" s="7" t="s">
        <v>1654</v>
      </c>
      <c r="D141" s="4" t="s">
        <v>67</v>
      </c>
      <c r="E141" s="4" t="s">
        <v>11</v>
      </c>
      <c r="F141" s="8">
        <v>1</v>
      </c>
      <c r="G141" s="8">
        <f>SUMIF(位置明细!$A$6:$A$207,A141,位置明细!$E$6:$E$207)</f>
        <v>2</v>
      </c>
      <c r="H141" s="4" t="s">
        <v>413</v>
      </c>
      <c r="I141" s="4" t="s">
        <v>216</v>
      </c>
      <c r="J141" s="4" t="s">
        <v>414</v>
      </c>
      <c r="K141" s="4" t="s">
        <v>76</v>
      </c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8.1" customHeight="1">
      <c r="A142" s="4" t="s">
        <v>419</v>
      </c>
      <c r="B142" s="4" t="s">
        <v>420</v>
      </c>
      <c r="C142" s="7" t="s">
        <v>1655</v>
      </c>
      <c r="D142" s="4" t="s">
        <v>67</v>
      </c>
      <c r="E142" s="4" t="s">
        <v>11</v>
      </c>
      <c r="F142" s="8">
        <v>2</v>
      </c>
      <c r="G142" s="8">
        <f>SUMIF(位置明细!$A$6:$A$207,A142,位置明细!$E$6:$E$207)</f>
        <v>6</v>
      </c>
      <c r="H142" s="4" t="s">
        <v>421</v>
      </c>
      <c r="I142" s="4" t="s">
        <v>225</v>
      </c>
      <c r="J142" s="4" t="s">
        <v>422</v>
      </c>
      <c r="K142" s="4" t="s">
        <v>71</v>
      </c>
      <c r="L142" s="4" t="s">
        <v>109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8.1" customHeight="1">
      <c r="A143" s="4" t="s">
        <v>423</v>
      </c>
      <c r="B143" s="4" t="s">
        <v>424</v>
      </c>
      <c r="C143" s="7" t="s">
        <v>1656</v>
      </c>
      <c r="D143" s="4" t="s">
        <v>67</v>
      </c>
      <c r="E143" s="4" t="s">
        <v>11</v>
      </c>
      <c r="F143" s="8">
        <v>2</v>
      </c>
      <c r="G143" s="8">
        <f>SUMIF(位置明细!$A$6:$A$207,A143,位置明细!$E$6:$E$207)</f>
        <v>4</v>
      </c>
      <c r="H143" s="4" t="s">
        <v>421</v>
      </c>
      <c r="I143" s="4" t="s">
        <v>225</v>
      </c>
      <c r="J143" s="4" t="s">
        <v>422</v>
      </c>
      <c r="K143" s="4" t="s">
        <v>71</v>
      </c>
      <c r="L143" s="4" t="s">
        <v>109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8.1" customHeight="1">
      <c r="A144" s="4" t="s">
        <v>425</v>
      </c>
      <c r="B144" s="4" t="s">
        <v>426</v>
      </c>
      <c r="C144" s="7" t="s">
        <v>1657</v>
      </c>
      <c r="D144" s="4" t="s">
        <v>67</v>
      </c>
      <c r="E144" s="4" t="s">
        <v>11</v>
      </c>
      <c r="F144" s="8">
        <v>1</v>
      </c>
      <c r="G144" s="8">
        <f>SUMIF(位置明细!$A$6:$A$207,A144,位置明细!$E$6:$E$207)</f>
        <v>1</v>
      </c>
      <c r="H144" s="4" t="s">
        <v>413</v>
      </c>
      <c r="I144" s="4" t="s">
        <v>216</v>
      </c>
      <c r="J144" s="4" t="s">
        <v>414</v>
      </c>
      <c r="K144" s="4" t="s">
        <v>71</v>
      </c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8.1" customHeight="1">
      <c r="A145" s="4" t="s">
        <v>427</v>
      </c>
      <c r="B145" s="4" t="s">
        <v>428</v>
      </c>
      <c r="C145" s="7" t="s">
        <v>1658</v>
      </c>
      <c r="D145" s="4" t="s">
        <v>67</v>
      </c>
      <c r="E145" s="4" t="s">
        <v>11</v>
      </c>
      <c r="F145" s="8">
        <v>1</v>
      </c>
      <c r="G145" s="8">
        <f>SUMIF(位置明细!$A$6:$A$207,A145,位置明细!$E$6:$E$207)</f>
        <v>1</v>
      </c>
      <c r="H145" s="4" t="s">
        <v>413</v>
      </c>
      <c r="I145" s="4" t="s">
        <v>216</v>
      </c>
      <c r="J145" s="4" t="s">
        <v>414</v>
      </c>
      <c r="K145" s="4" t="s">
        <v>71</v>
      </c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8.1" customHeight="1">
      <c r="A146" s="4" t="s">
        <v>429</v>
      </c>
      <c r="B146" s="4" t="s">
        <v>430</v>
      </c>
      <c r="C146" s="7" t="s">
        <v>1659</v>
      </c>
      <c r="D146" s="4" t="s">
        <v>67</v>
      </c>
      <c r="E146" s="4" t="s">
        <v>11</v>
      </c>
      <c r="F146" s="8">
        <v>1</v>
      </c>
      <c r="G146" s="8">
        <f>SUMIF(位置明细!$A$6:$A$207,A146,位置明细!$E$6:$E$207)</f>
        <v>1</v>
      </c>
      <c r="H146" s="4" t="s">
        <v>413</v>
      </c>
      <c r="I146" s="4" t="s">
        <v>216</v>
      </c>
      <c r="J146" s="4" t="s">
        <v>414</v>
      </c>
      <c r="K146" s="4" t="s">
        <v>71</v>
      </c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8.1" customHeight="1">
      <c r="A147" s="4" t="s">
        <v>431</v>
      </c>
      <c r="B147" s="4" t="s">
        <v>432</v>
      </c>
      <c r="C147" s="7" t="s">
        <v>432</v>
      </c>
      <c r="D147" s="4" t="s">
        <v>112</v>
      </c>
      <c r="E147" s="4" t="s">
        <v>13</v>
      </c>
      <c r="F147" s="8">
        <v>1</v>
      </c>
      <c r="G147" s="8">
        <f>SUMIF(位置明细!$A$6:$A$207,A147,位置明细!$E$6:$E$207)</f>
        <v>1</v>
      </c>
      <c r="H147" s="4" t="s">
        <v>413</v>
      </c>
      <c r="I147" s="4" t="s">
        <v>216</v>
      </c>
      <c r="J147" s="4" t="s">
        <v>414</v>
      </c>
      <c r="K147" s="4" t="s">
        <v>71</v>
      </c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8.1" customHeight="1">
      <c r="A148" s="4" t="s">
        <v>433</v>
      </c>
      <c r="B148" s="4" t="s">
        <v>434</v>
      </c>
      <c r="C148" s="7" t="s">
        <v>434</v>
      </c>
      <c r="D148" s="4" t="s">
        <v>112</v>
      </c>
      <c r="E148" s="4" t="s">
        <v>13</v>
      </c>
      <c r="F148" s="8">
        <v>1</v>
      </c>
      <c r="G148" s="8">
        <f>SUMIF(位置明细!$A$6:$A$207,A148,位置明细!$E$6:$E$207)</f>
        <v>1</v>
      </c>
      <c r="H148" s="4" t="s">
        <v>413</v>
      </c>
      <c r="I148" s="4" t="s">
        <v>216</v>
      </c>
      <c r="J148" s="4" t="s">
        <v>414</v>
      </c>
      <c r="K148" s="4" t="s">
        <v>71</v>
      </c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8.1" customHeight="1">
      <c r="A149" s="4" t="s">
        <v>435</v>
      </c>
      <c r="B149" s="4" t="s">
        <v>436</v>
      </c>
      <c r="C149" s="7" t="s">
        <v>436</v>
      </c>
      <c r="D149" s="4" t="s">
        <v>112</v>
      </c>
      <c r="E149" s="4" t="s">
        <v>13</v>
      </c>
      <c r="F149" s="8">
        <v>1</v>
      </c>
      <c r="G149" s="8">
        <f>SUMIF(位置明细!$A$6:$A$207,A149,位置明细!$E$6:$E$207)</f>
        <v>1</v>
      </c>
      <c r="H149" s="4" t="s">
        <v>413</v>
      </c>
      <c r="I149" s="4" t="s">
        <v>216</v>
      </c>
      <c r="J149" s="4" t="s">
        <v>414</v>
      </c>
      <c r="K149" s="4" t="s">
        <v>76</v>
      </c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8.1" customHeight="1">
      <c r="A150" s="4" t="s">
        <v>437</v>
      </c>
      <c r="B150" s="4" t="s">
        <v>438</v>
      </c>
      <c r="C150" s="7" t="s">
        <v>438</v>
      </c>
      <c r="D150" s="4" t="s">
        <v>112</v>
      </c>
      <c r="E150" s="4" t="s">
        <v>13</v>
      </c>
      <c r="F150" s="8">
        <v>1</v>
      </c>
      <c r="G150" s="8">
        <f>SUMIF(位置明细!$A$6:$A$207,A150,位置明细!$E$6:$E$207)</f>
        <v>1</v>
      </c>
      <c r="H150" s="4" t="s">
        <v>413</v>
      </c>
      <c r="I150" s="4" t="s">
        <v>216</v>
      </c>
      <c r="J150" s="4" t="s">
        <v>414</v>
      </c>
      <c r="K150" s="4" t="s">
        <v>76</v>
      </c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8.1" customHeight="1">
      <c r="A151" s="4" t="s">
        <v>439</v>
      </c>
      <c r="B151" s="4" t="s">
        <v>440</v>
      </c>
      <c r="C151" s="7" t="s">
        <v>440</v>
      </c>
      <c r="D151" s="4" t="s">
        <v>112</v>
      </c>
      <c r="E151" s="4" t="s">
        <v>13</v>
      </c>
      <c r="F151" s="8">
        <v>1</v>
      </c>
      <c r="G151" s="8">
        <f>SUMIF(位置明细!$A$6:$A$207,A151,位置明细!$E$6:$E$207)</f>
        <v>1</v>
      </c>
      <c r="H151" s="4" t="s">
        <v>413</v>
      </c>
      <c r="I151" s="4" t="s">
        <v>216</v>
      </c>
      <c r="J151" s="4" t="s">
        <v>414</v>
      </c>
      <c r="K151" s="4" t="s">
        <v>76</v>
      </c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8.1" customHeight="1">
      <c r="A152" s="4" t="s">
        <v>441</v>
      </c>
      <c r="B152" s="4" t="s">
        <v>442</v>
      </c>
      <c r="C152" s="7" t="s">
        <v>1660</v>
      </c>
      <c r="D152" s="4" t="s">
        <v>67</v>
      </c>
      <c r="E152" s="4" t="s">
        <v>11</v>
      </c>
      <c r="F152" s="8">
        <v>1</v>
      </c>
      <c r="G152" s="8">
        <f>SUMIF(位置明细!$A$6:$A$207,A152,位置明细!$E$6:$E$207)</f>
        <v>1</v>
      </c>
      <c r="H152" s="4" t="s">
        <v>443</v>
      </c>
      <c r="I152" s="4" t="s">
        <v>183</v>
      </c>
      <c r="J152" s="4" t="s">
        <v>404</v>
      </c>
      <c r="K152" s="4" t="s">
        <v>71</v>
      </c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8.1" customHeight="1">
      <c r="A153" s="4" t="s">
        <v>444</v>
      </c>
      <c r="B153" s="4" t="s">
        <v>445</v>
      </c>
      <c r="C153" s="7" t="s">
        <v>445</v>
      </c>
      <c r="D153" s="4" t="s">
        <v>112</v>
      </c>
      <c r="E153" s="4" t="s">
        <v>15</v>
      </c>
      <c r="F153" s="8">
        <v>1</v>
      </c>
      <c r="G153" s="8">
        <f>SUMIF(位置明细!$A$6:$A$207,A153,位置明细!$E$6:$E$207)</f>
        <v>1</v>
      </c>
      <c r="H153" s="4" t="s">
        <v>446</v>
      </c>
      <c r="I153" s="4" t="s">
        <v>447</v>
      </c>
      <c r="J153" s="4" t="s">
        <v>448</v>
      </c>
      <c r="K153" s="4" t="s">
        <v>71</v>
      </c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8.1" customHeight="1">
      <c r="A154" s="4" t="s">
        <v>449</v>
      </c>
      <c r="B154" s="4" t="s">
        <v>450</v>
      </c>
      <c r="C154" s="7" t="s">
        <v>1661</v>
      </c>
      <c r="D154" s="4" t="s">
        <v>67</v>
      </c>
      <c r="E154" s="4" t="s">
        <v>11</v>
      </c>
      <c r="F154" s="8">
        <v>1</v>
      </c>
      <c r="G154" s="8">
        <f>SUMIF(位置明细!$A$6:$A$207,A154,位置明细!$E$6:$E$207)</f>
        <v>2</v>
      </c>
      <c r="H154" s="4" t="s">
        <v>451</v>
      </c>
      <c r="I154" s="4" t="s">
        <v>452</v>
      </c>
      <c r="J154" s="4" t="s">
        <v>453</v>
      </c>
      <c r="K154" s="4" t="s">
        <v>71</v>
      </c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L1"/>
    <mergeCell ref="A2:L2"/>
  </mergeCells>
  <phoneticPr fontId="8" type="noConversion"/>
  <conditionalFormatting sqref="E6:E155">
    <cfRule type="containsText" dxfId="10" priority="1" operator="containsText" text="待翻译"/>
    <cfRule type="containsText" dxfId="9" priority="2" operator="containsText" text="建议保留"/>
  </conditionalFormatting>
  <conditionalFormatting sqref="K6:K155">
    <cfRule type="containsText" dxfId="8" priority="3" operator="containsText" text="需复核"/>
  </conditionalFormatting>
  <dataValidations count="2">
    <dataValidation type="list" sqref="E6:E155" xr:uid="{00000000-0002-0000-0100-000000000000}">
      <formula1>"待翻译,按需翻译,建议保留,无需翻译"</formula1>
    </dataValidation>
    <dataValidation type="list" sqref="K6:K155" xr:uid="{00000000-0002-0000-0100-000001000000}">
      <formula1>"已人工校正,已人工校正／坐标需复核,人工补录／坐标需复核,已复核"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0"/>
  <sheetViews>
    <sheetView showGridLines="0" workbookViewId="0"/>
  </sheetViews>
  <sheetFormatPr defaultRowHeight="14.25"/>
  <cols>
    <col min="1" max="1" width="12" customWidth="1"/>
    <col min="2" max="2" width="27" customWidth="1"/>
    <col min="3" max="4" width="38" customWidth="1"/>
    <col min="5" max="5" width="9" customWidth="1"/>
    <col min="6" max="9" width="8" customWidth="1"/>
    <col min="10" max="10" width="12" customWidth="1"/>
    <col min="11" max="11" width="25" customWidth="1"/>
    <col min="12" max="12" width="28" customWidth="1"/>
    <col min="13" max="13" width="36" customWidth="1"/>
    <col min="14" max="14" width="12" customWidth="1"/>
    <col min="15" max="15" width="11" customWidth="1"/>
    <col min="16" max="16" width="27" customWidth="1"/>
    <col min="17" max="17" width="26" customWidth="1"/>
  </cols>
  <sheetData>
    <row r="1" spans="1:26" ht="36" customHeight="1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"/>
      <c r="S1" s="1"/>
      <c r="T1" s="1"/>
      <c r="U1" s="1"/>
      <c r="V1" s="1"/>
      <c r="W1" s="1"/>
      <c r="X1" s="1"/>
      <c r="Y1" s="1"/>
      <c r="Z1" s="1"/>
    </row>
    <row r="2" spans="1:26" ht="27.95" customHeight="1">
      <c r="A2" s="16" t="s">
        <v>454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6" t="s">
        <v>53</v>
      </c>
      <c r="B5" s="6" t="s">
        <v>455</v>
      </c>
      <c r="C5" s="6" t="s">
        <v>54</v>
      </c>
      <c r="D5" s="6" t="s">
        <v>456</v>
      </c>
      <c r="E5" s="6" t="s">
        <v>457</v>
      </c>
      <c r="F5" s="6" t="s">
        <v>458</v>
      </c>
      <c r="G5" s="6" t="s">
        <v>459</v>
      </c>
      <c r="H5" s="6" t="s">
        <v>460</v>
      </c>
      <c r="I5" s="6" t="s">
        <v>461</v>
      </c>
      <c r="J5" s="6" t="s">
        <v>462</v>
      </c>
      <c r="K5" s="6" t="s">
        <v>463</v>
      </c>
      <c r="L5" s="6" t="s">
        <v>25</v>
      </c>
      <c r="M5" s="6" t="s">
        <v>62</v>
      </c>
      <c r="N5" s="6" t="s">
        <v>464</v>
      </c>
      <c r="O5" s="6" t="s">
        <v>465</v>
      </c>
      <c r="P5" s="6" t="s">
        <v>63</v>
      </c>
      <c r="Q5" s="6" t="s">
        <v>64</v>
      </c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4" t="s">
        <v>65</v>
      </c>
      <c r="B6" s="4" t="s">
        <v>68</v>
      </c>
      <c r="C6" s="4" t="s">
        <v>66</v>
      </c>
      <c r="D6" s="17" t="str">
        <f>IFERROR(VLOOKUP(A6,翻译清单!$A$6:$L$155,3,FALSE),"")</f>
        <v>如果不需要此功能，请选择“OFF。</v>
      </c>
      <c r="E6" s="8">
        <v>1</v>
      </c>
      <c r="F6" s="8">
        <v>0</v>
      </c>
      <c r="G6" s="8">
        <v>297</v>
      </c>
      <c r="H6" s="8">
        <v>541</v>
      </c>
      <c r="I6" s="8">
        <v>23</v>
      </c>
      <c r="J6" s="8">
        <v>19</v>
      </c>
      <c r="K6" s="4" t="s">
        <v>69</v>
      </c>
      <c r="L6" s="4" t="s">
        <v>466</v>
      </c>
      <c r="M6" s="4" t="s">
        <v>70</v>
      </c>
      <c r="N6" s="9">
        <v>0.99690000000000001</v>
      </c>
      <c r="O6" s="9">
        <v>1</v>
      </c>
      <c r="P6" s="4" t="s">
        <v>71</v>
      </c>
      <c r="Q6" s="4"/>
      <c r="R6" s="1"/>
      <c r="S6" s="1"/>
      <c r="T6" s="1"/>
      <c r="U6" s="1"/>
      <c r="V6" s="1"/>
      <c r="W6" s="1"/>
      <c r="X6" s="1"/>
      <c r="Y6" s="1"/>
      <c r="Z6" s="1"/>
    </row>
    <row r="7" spans="1:26" ht="42" customHeight="1">
      <c r="A7" s="4" t="s">
        <v>72</v>
      </c>
      <c r="B7" s="4" t="s">
        <v>68</v>
      </c>
      <c r="C7" s="4" t="s">
        <v>73</v>
      </c>
      <c r="D7" s="17" t="str">
        <f>IFERROR(VLOOKUP(A7,翻译清单!$A$6:$L$155,3,FALSE),"")</f>
        <v>可随时在系统设置界面重新设置。</v>
      </c>
      <c r="E7" s="8">
        <v>1</v>
      </c>
      <c r="F7" s="8">
        <v>24</v>
      </c>
      <c r="G7" s="8">
        <v>316</v>
      </c>
      <c r="H7" s="8">
        <v>690</v>
      </c>
      <c r="I7" s="8">
        <v>41</v>
      </c>
      <c r="J7" s="8">
        <v>34</v>
      </c>
      <c r="K7" s="4" t="s">
        <v>69</v>
      </c>
      <c r="L7" s="4" t="s">
        <v>467</v>
      </c>
      <c r="M7" s="4" t="s">
        <v>70</v>
      </c>
      <c r="N7" s="9">
        <v>0.99250000000000005</v>
      </c>
      <c r="O7" s="9">
        <v>0.90300000000000002</v>
      </c>
      <c r="P7" s="4" t="s">
        <v>71</v>
      </c>
      <c r="Q7" s="4"/>
      <c r="R7" s="1"/>
      <c r="S7" s="1"/>
      <c r="T7" s="1"/>
      <c r="U7" s="1"/>
      <c r="V7" s="1"/>
      <c r="W7" s="1"/>
      <c r="X7" s="1"/>
      <c r="Y7" s="1"/>
      <c r="Z7" s="1"/>
    </row>
    <row r="8" spans="1:26" ht="42" customHeight="1">
      <c r="A8" s="4" t="s">
        <v>74</v>
      </c>
      <c r="B8" s="4" t="s">
        <v>68</v>
      </c>
      <c r="C8" s="4" t="s">
        <v>75</v>
      </c>
      <c r="D8" s="17" t="str">
        <f>IFERROR(VLOOKUP(A8,翻译清单!$A$6:$L$155,3,FALSE),"")</f>
        <v>要交换数据吗？</v>
      </c>
      <c r="E8" s="8">
        <v>1</v>
      </c>
      <c r="F8" s="8">
        <v>1</v>
      </c>
      <c r="G8" s="8">
        <v>581</v>
      </c>
      <c r="H8" s="8">
        <v>399</v>
      </c>
      <c r="I8" s="8">
        <v>37</v>
      </c>
      <c r="J8" s="8">
        <v>30</v>
      </c>
      <c r="K8" s="4" t="s">
        <v>69</v>
      </c>
      <c r="L8" s="4" t="s">
        <v>468</v>
      </c>
      <c r="M8" s="4" t="s">
        <v>70</v>
      </c>
      <c r="N8" s="9">
        <v>0.95989999999999998</v>
      </c>
      <c r="O8" s="9">
        <v>0.66700000000000004</v>
      </c>
      <c r="P8" s="4" t="s">
        <v>76</v>
      </c>
      <c r="Q8" s="4"/>
      <c r="R8" s="1"/>
      <c r="S8" s="1"/>
      <c r="T8" s="1"/>
      <c r="U8" s="1"/>
      <c r="V8" s="1"/>
      <c r="W8" s="1"/>
      <c r="X8" s="1"/>
      <c r="Y8" s="1"/>
      <c r="Z8" s="1"/>
    </row>
    <row r="9" spans="1:26" ht="42" customHeight="1">
      <c r="A9" s="4" t="s">
        <v>77</v>
      </c>
      <c r="B9" s="4" t="s">
        <v>68</v>
      </c>
      <c r="C9" s="4" t="s">
        <v>78</v>
      </c>
      <c r="D9" s="17" t="str">
        <f>IFERROR(VLOOKUP(A9,翻译清单!$A$6:$L$155,3,FALSE),"")</f>
        <v>要从上次中断处继续吗？</v>
      </c>
      <c r="E9" s="8">
        <v>1</v>
      </c>
      <c r="F9" s="8">
        <v>1</v>
      </c>
      <c r="G9" s="8">
        <v>382</v>
      </c>
      <c r="H9" s="8">
        <v>515</v>
      </c>
      <c r="I9" s="8">
        <v>36</v>
      </c>
      <c r="J9" s="8">
        <v>30</v>
      </c>
      <c r="K9" s="4" t="s">
        <v>69</v>
      </c>
      <c r="L9" s="4" t="s">
        <v>469</v>
      </c>
      <c r="M9" s="4" t="s">
        <v>70</v>
      </c>
      <c r="N9" s="9">
        <v>0.96279999999999999</v>
      </c>
      <c r="O9" s="9">
        <v>1</v>
      </c>
      <c r="P9" s="4" t="s">
        <v>71</v>
      </c>
      <c r="Q9" s="4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>
      <c r="A10" s="4" t="s">
        <v>79</v>
      </c>
      <c r="B10" s="4" t="s">
        <v>68</v>
      </c>
      <c r="C10" s="4" t="s">
        <v>80</v>
      </c>
      <c r="D10" s="17" t="str">
        <f>IFERROR(VLOOKUP(A10,翻译清单!$A$6:$L$155,3,FALSE),"")</f>
        <v>要返回标题界面吗？</v>
      </c>
      <c r="E10" s="8">
        <v>1</v>
      </c>
      <c r="F10" s="8">
        <v>1</v>
      </c>
      <c r="G10" s="8">
        <v>415</v>
      </c>
      <c r="H10" s="8">
        <v>507</v>
      </c>
      <c r="I10" s="8">
        <v>36</v>
      </c>
      <c r="J10" s="8">
        <v>30</v>
      </c>
      <c r="K10" s="4" t="s">
        <v>69</v>
      </c>
      <c r="L10" s="4" t="s">
        <v>470</v>
      </c>
      <c r="M10" s="4" t="s">
        <v>70</v>
      </c>
      <c r="N10" s="9">
        <v>0.97440000000000004</v>
      </c>
      <c r="O10" s="9">
        <v>1</v>
      </c>
      <c r="P10" s="4" t="s">
        <v>71</v>
      </c>
      <c r="Q10" s="4"/>
      <c r="R10" s="1"/>
      <c r="S10" s="1"/>
      <c r="T10" s="1"/>
      <c r="U10" s="1"/>
      <c r="V10" s="1"/>
      <c r="W10" s="1"/>
      <c r="X10" s="1"/>
      <c r="Y10" s="1"/>
      <c r="Z10" s="1"/>
    </row>
    <row r="11" spans="1:26" ht="42" customHeight="1">
      <c r="A11" s="4" t="s">
        <v>81</v>
      </c>
      <c r="B11" s="4" t="s">
        <v>68</v>
      </c>
      <c r="C11" s="4" t="s">
        <v>82</v>
      </c>
      <c r="D11" s="17" t="str">
        <f>IFERROR(VLOOKUP(A11,翻译清单!$A$6:$L$155,3,FALSE),"")</f>
        <v>要复制数据吗？</v>
      </c>
      <c r="E11" s="8">
        <v>1</v>
      </c>
      <c r="F11" s="8">
        <v>0</v>
      </c>
      <c r="G11" s="8">
        <v>445</v>
      </c>
      <c r="H11" s="8">
        <v>444</v>
      </c>
      <c r="I11" s="8">
        <v>41</v>
      </c>
      <c r="J11" s="8">
        <v>34</v>
      </c>
      <c r="K11" s="4" t="s">
        <v>69</v>
      </c>
      <c r="L11" s="4" t="s">
        <v>471</v>
      </c>
      <c r="M11" s="4" t="s">
        <v>70</v>
      </c>
      <c r="N11" s="9">
        <v>0.96309999999999996</v>
      </c>
      <c r="O11" s="9">
        <v>1</v>
      </c>
      <c r="P11" s="4" t="s">
        <v>71</v>
      </c>
      <c r="Q11" s="4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4" t="s">
        <v>83</v>
      </c>
      <c r="B12" s="4" t="s">
        <v>68</v>
      </c>
      <c r="C12" s="4" t="s">
        <v>84</v>
      </c>
      <c r="D12" s="17" t="str">
        <f>IFERROR(VLOOKUP(A12,翻译清单!$A$6:$L$155,3,FALSE),"")</f>
        <v>要快速保存吗？</v>
      </c>
      <c r="E12" s="8">
        <v>2</v>
      </c>
      <c r="F12" s="8">
        <v>0</v>
      </c>
      <c r="G12" s="8">
        <v>479</v>
      </c>
      <c r="H12" s="8">
        <v>441</v>
      </c>
      <c r="I12" s="8">
        <v>45</v>
      </c>
      <c r="J12" s="8">
        <v>37</v>
      </c>
      <c r="K12" s="4" t="s">
        <v>69</v>
      </c>
      <c r="L12" s="4" t="s">
        <v>472</v>
      </c>
      <c r="M12" s="4" t="s">
        <v>70</v>
      </c>
      <c r="N12" s="9">
        <v>0.98929999999999996</v>
      </c>
      <c r="O12" s="9">
        <v>1</v>
      </c>
      <c r="P12" s="4" t="s">
        <v>71</v>
      </c>
      <c r="Q12" s="4"/>
      <c r="R12" s="1"/>
      <c r="S12" s="1"/>
      <c r="T12" s="1"/>
      <c r="U12" s="1"/>
      <c r="V12" s="1"/>
      <c r="W12" s="1"/>
      <c r="X12" s="1"/>
      <c r="Y12" s="1"/>
      <c r="Z12" s="1"/>
    </row>
    <row r="13" spans="1:26" ht="42" customHeight="1">
      <c r="A13" s="4" t="s">
        <v>85</v>
      </c>
      <c r="B13" s="4" t="s">
        <v>68</v>
      </c>
      <c r="C13" s="4" t="s">
        <v>86</v>
      </c>
      <c r="D13" s="17" t="str">
        <f>IFERROR(VLOOKUP(A13,翻译清单!$A$6:$L$155,3,FALSE),"")</f>
        <v>要快速读取吗？</v>
      </c>
      <c r="E13" s="8">
        <v>2</v>
      </c>
      <c r="F13" s="8">
        <v>1</v>
      </c>
      <c r="G13" s="8">
        <v>513</v>
      </c>
      <c r="H13" s="8">
        <v>437</v>
      </c>
      <c r="I13" s="8">
        <v>38</v>
      </c>
      <c r="J13" s="8">
        <v>31</v>
      </c>
      <c r="K13" s="4" t="s">
        <v>69</v>
      </c>
      <c r="L13" s="4" t="s">
        <v>468</v>
      </c>
      <c r="M13" s="4" t="s">
        <v>70</v>
      </c>
      <c r="N13" s="9">
        <v>0.99819999999999998</v>
      </c>
      <c r="O13" s="9">
        <v>1</v>
      </c>
      <c r="P13" s="4" t="s">
        <v>71</v>
      </c>
      <c r="Q13" s="4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>
      <c r="A14" s="4" t="s">
        <v>87</v>
      </c>
      <c r="B14" s="4" t="s">
        <v>68</v>
      </c>
      <c r="C14" s="4" t="s">
        <v>88</v>
      </c>
      <c r="D14" s="17" t="str">
        <f>IFERROR(VLOOKUP(A14,翻译清单!$A$6:$L$155,3,FALSE),"")</f>
        <v>要恢复为初始设置吗？</v>
      </c>
      <c r="E14" s="8">
        <v>1</v>
      </c>
      <c r="F14" s="8">
        <v>1</v>
      </c>
      <c r="G14" s="8">
        <v>548</v>
      </c>
      <c r="H14" s="8">
        <v>404</v>
      </c>
      <c r="I14" s="8">
        <v>36</v>
      </c>
      <c r="J14" s="8">
        <v>30</v>
      </c>
      <c r="K14" s="4" t="s">
        <v>69</v>
      </c>
      <c r="L14" s="4" t="s">
        <v>468</v>
      </c>
      <c r="M14" s="4" t="s">
        <v>70</v>
      </c>
      <c r="N14" s="9">
        <v>0.99909999999999999</v>
      </c>
      <c r="O14" s="9">
        <v>1</v>
      </c>
      <c r="P14" s="4" t="s">
        <v>71</v>
      </c>
      <c r="Q14" s="4"/>
      <c r="R14" s="1"/>
      <c r="S14" s="1"/>
      <c r="T14" s="1"/>
      <c r="U14" s="1"/>
      <c r="V14" s="1"/>
      <c r="W14" s="1"/>
      <c r="X14" s="1"/>
      <c r="Y14" s="1"/>
      <c r="Z14" s="1"/>
    </row>
    <row r="15" spans="1:26" ht="42" customHeight="1">
      <c r="A15" s="4" t="s">
        <v>89</v>
      </c>
      <c r="B15" s="4" t="s">
        <v>68</v>
      </c>
      <c r="C15" s="4" t="s">
        <v>90</v>
      </c>
      <c r="D15" s="17" t="str">
        <f>IFERROR(VLOOKUP(A15,翻译清单!$A$6:$L$155,3,FALSE),"")</f>
        <v>要删除数据吗？</v>
      </c>
      <c r="E15" s="8">
        <v>1</v>
      </c>
      <c r="F15" s="8">
        <v>1</v>
      </c>
      <c r="G15" s="8">
        <v>581</v>
      </c>
      <c r="H15" s="8">
        <v>399</v>
      </c>
      <c r="I15" s="8">
        <v>37</v>
      </c>
      <c r="J15" s="8">
        <v>30</v>
      </c>
      <c r="K15" s="4" t="s">
        <v>69</v>
      </c>
      <c r="L15" s="4" t="s">
        <v>468</v>
      </c>
      <c r="M15" s="4" t="s">
        <v>70</v>
      </c>
      <c r="N15" s="9">
        <v>0.95989999999999998</v>
      </c>
      <c r="O15" s="9">
        <v>1</v>
      </c>
      <c r="P15" s="4" t="s">
        <v>71</v>
      </c>
      <c r="Q15" s="4"/>
      <c r="R15" s="1"/>
      <c r="S15" s="1"/>
      <c r="T15" s="1"/>
      <c r="U15" s="1"/>
      <c r="V15" s="1"/>
      <c r="W15" s="1"/>
      <c r="X15" s="1"/>
      <c r="Y15" s="1"/>
      <c r="Z15" s="1"/>
    </row>
    <row r="16" spans="1:26" ht="42" customHeight="1">
      <c r="A16" s="4" t="s">
        <v>91</v>
      </c>
      <c r="B16" s="4" t="s">
        <v>68</v>
      </c>
      <c r="C16" s="4" t="s">
        <v>92</v>
      </c>
      <c r="D16" s="17" t="str">
        <f>IFERROR(VLOOKUP(A16,翻译清单!$A$6:$L$155,3,FALSE),"")</f>
        <v>要退出游戏吗？</v>
      </c>
      <c r="E16" s="8">
        <v>1</v>
      </c>
      <c r="F16" s="8">
        <v>0</v>
      </c>
      <c r="G16" s="8">
        <v>609</v>
      </c>
      <c r="H16" s="8">
        <v>402</v>
      </c>
      <c r="I16" s="8">
        <v>44</v>
      </c>
      <c r="J16" s="8">
        <v>36</v>
      </c>
      <c r="K16" s="4" t="s">
        <v>69</v>
      </c>
      <c r="L16" s="4" t="s">
        <v>468</v>
      </c>
      <c r="M16" s="4" t="s">
        <v>70</v>
      </c>
      <c r="N16" s="9">
        <v>0.99760000000000004</v>
      </c>
      <c r="O16" s="9">
        <v>1</v>
      </c>
      <c r="P16" s="4" t="s">
        <v>71</v>
      </c>
      <c r="Q16" s="4"/>
      <c r="R16" s="1"/>
      <c r="S16" s="1"/>
      <c r="T16" s="1"/>
      <c r="U16" s="1"/>
      <c r="V16" s="1"/>
      <c r="W16" s="1"/>
      <c r="X16" s="1"/>
      <c r="Y16" s="1"/>
      <c r="Z16" s="1"/>
    </row>
    <row r="17" spans="1:26" ht="42" customHeight="1">
      <c r="A17" s="4" t="s">
        <v>93</v>
      </c>
      <c r="B17" s="4" t="s">
        <v>68</v>
      </c>
      <c r="C17" s="4" t="s">
        <v>94</v>
      </c>
      <c r="D17" s="17" t="str">
        <f>IFERROR(VLOOKUP(A17,翻译清单!$A$6:$L$155,3,FALSE),"")</f>
        <v>要跳转吗？</v>
      </c>
      <c r="E17" s="8">
        <v>1</v>
      </c>
      <c r="F17" s="8">
        <v>438</v>
      </c>
      <c r="G17" s="8">
        <v>538</v>
      </c>
      <c r="H17" s="8">
        <v>326</v>
      </c>
      <c r="I17" s="8">
        <v>39</v>
      </c>
      <c r="J17" s="8">
        <v>32</v>
      </c>
      <c r="K17" s="4" t="s">
        <v>69</v>
      </c>
      <c r="L17" s="4" t="s">
        <v>468</v>
      </c>
      <c r="M17" s="4" t="s">
        <v>70</v>
      </c>
      <c r="N17" s="9">
        <v>0.999</v>
      </c>
      <c r="O17" s="9">
        <v>1</v>
      </c>
      <c r="P17" s="4" t="s">
        <v>71</v>
      </c>
      <c r="Q17" s="4"/>
      <c r="R17" s="1"/>
      <c r="S17" s="1"/>
      <c r="T17" s="1"/>
      <c r="U17" s="1"/>
      <c r="V17" s="1"/>
      <c r="W17" s="1"/>
      <c r="X17" s="1"/>
      <c r="Y17" s="1"/>
      <c r="Z17" s="1"/>
    </row>
    <row r="18" spans="1:26" ht="42" customHeight="1">
      <c r="A18" s="4" t="s">
        <v>95</v>
      </c>
      <c r="B18" s="4" t="s">
        <v>68</v>
      </c>
      <c r="C18" s="4" t="s">
        <v>96</v>
      </c>
      <c r="D18" s="17" t="str">
        <f>IFERROR(VLOOKUP(A18,翻译清单!$A$6:$L$155,3,FALSE),"")</f>
        <v>要覆盖吗？</v>
      </c>
      <c r="E18" s="8">
        <v>1</v>
      </c>
      <c r="F18" s="8">
        <v>435</v>
      </c>
      <c r="G18" s="8">
        <v>567</v>
      </c>
      <c r="H18" s="8">
        <v>295</v>
      </c>
      <c r="I18" s="8">
        <v>46</v>
      </c>
      <c r="J18" s="8">
        <v>38</v>
      </c>
      <c r="K18" s="4" t="s">
        <v>69</v>
      </c>
      <c r="L18" s="4" t="s">
        <v>468</v>
      </c>
      <c r="M18" s="4" t="s">
        <v>70</v>
      </c>
      <c r="N18" s="9">
        <v>0.99860000000000004</v>
      </c>
      <c r="O18" s="9">
        <v>1</v>
      </c>
      <c r="P18" s="4" t="s">
        <v>71</v>
      </c>
      <c r="Q18" s="4"/>
      <c r="R18" s="1"/>
      <c r="S18" s="1"/>
      <c r="T18" s="1"/>
      <c r="U18" s="1"/>
      <c r="V18" s="1"/>
      <c r="W18" s="1"/>
      <c r="X18" s="1"/>
      <c r="Y18" s="1"/>
      <c r="Z18" s="1"/>
    </row>
    <row r="19" spans="1:26" ht="42" customHeight="1">
      <c r="A19" s="4" t="s">
        <v>97</v>
      </c>
      <c r="B19" s="4" t="s">
        <v>68</v>
      </c>
      <c r="C19" s="4" t="s">
        <v>98</v>
      </c>
      <c r="D19" s="17" t="str">
        <f>IFERROR(VLOOKUP(A19,翻译清单!$A$6:$L$155,3,FALSE),"")</f>
        <v>要保存吗？</v>
      </c>
      <c r="E19" s="8">
        <v>3</v>
      </c>
      <c r="F19" s="8">
        <v>438</v>
      </c>
      <c r="G19" s="8">
        <v>605</v>
      </c>
      <c r="H19" s="8">
        <v>289</v>
      </c>
      <c r="I19" s="8">
        <v>37</v>
      </c>
      <c r="J19" s="8">
        <v>30</v>
      </c>
      <c r="K19" s="4" t="s">
        <v>69</v>
      </c>
      <c r="L19" s="4" t="s">
        <v>468</v>
      </c>
      <c r="M19" s="4" t="s">
        <v>70</v>
      </c>
      <c r="N19" s="9">
        <v>0.999</v>
      </c>
      <c r="O19" s="9">
        <v>1</v>
      </c>
      <c r="P19" s="4" t="s">
        <v>71</v>
      </c>
      <c r="Q19" s="4"/>
      <c r="R19" s="1"/>
      <c r="S19" s="1"/>
      <c r="T19" s="1"/>
      <c r="U19" s="1"/>
      <c r="V19" s="1"/>
      <c r="W19" s="1"/>
      <c r="X19" s="1"/>
      <c r="Y19" s="1"/>
      <c r="Z19" s="1"/>
    </row>
    <row r="20" spans="1:26" ht="42" customHeight="1">
      <c r="A20" s="4" t="s">
        <v>99</v>
      </c>
      <c r="B20" s="4" t="s">
        <v>68</v>
      </c>
      <c r="C20" s="4" t="s">
        <v>100</v>
      </c>
      <c r="D20" s="17" t="str">
        <f>IFERROR(VLOOKUP(A20,翻译清单!$A$6:$L$155,3,FALSE),"")</f>
        <v>要读取吗？</v>
      </c>
      <c r="E20" s="8">
        <v>2</v>
      </c>
      <c r="F20" s="8">
        <v>437</v>
      </c>
      <c r="G20" s="8">
        <v>633</v>
      </c>
      <c r="H20" s="8">
        <v>290</v>
      </c>
      <c r="I20" s="8">
        <v>42</v>
      </c>
      <c r="J20" s="8">
        <v>34</v>
      </c>
      <c r="K20" s="4" t="s">
        <v>69</v>
      </c>
      <c r="L20" s="4" t="s">
        <v>473</v>
      </c>
      <c r="M20" s="4" t="s">
        <v>70</v>
      </c>
      <c r="N20" s="9">
        <v>0.99660000000000004</v>
      </c>
      <c r="O20" s="9">
        <v>1</v>
      </c>
      <c r="P20" s="4" t="s">
        <v>71</v>
      </c>
      <c r="Q20" s="4"/>
      <c r="R20" s="1"/>
      <c r="S20" s="1"/>
      <c r="T20" s="1"/>
      <c r="U20" s="1"/>
      <c r="V20" s="1"/>
      <c r="W20" s="1"/>
      <c r="X20" s="1"/>
      <c r="Y20" s="1"/>
      <c r="Z20" s="1"/>
    </row>
    <row r="21" spans="1:26" ht="42" customHeight="1">
      <c r="A21" s="4" t="s">
        <v>101</v>
      </c>
      <c r="B21" s="4" t="s">
        <v>68</v>
      </c>
      <c r="C21" s="4" t="s">
        <v>102</v>
      </c>
      <c r="D21" s="17" t="str">
        <f>IFERROR(VLOOKUP(A21,翻译清单!$A$6:$L$155,3,FALSE),"")</f>
        <v>下次不再显示</v>
      </c>
      <c r="E21" s="8">
        <v>3</v>
      </c>
      <c r="F21" s="8">
        <v>525</v>
      </c>
      <c r="G21" s="8">
        <v>390</v>
      </c>
      <c r="H21" s="8">
        <v>188</v>
      </c>
      <c r="I21" s="8">
        <v>23</v>
      </c>
      <c r="J21" s="8">
        <v>19</v>
      </c>
      <c r="K21" s="4" t="s">
        <v>69</v>
      </c>
      <c r="L21" s="4" t="s">
        <v>474</v>
      </c>
      <c r="M21" s="4" t="s">
        <v>70</v>
      </c>
      <c r="N21" s="9">
        <v>1</v>
      </c>
      <c r="O21" s="9">
        <v>1</v>
      </c>
      <c r="P21" s="4" t="s">
        <v>71</v>
      </c>
      <c r="Q21" s="4"/>
      <c r="R21" s="1"/>
      <c r="S21" s="1"/>
      <c r="T21" s="1"/>
      <c r="U21" s="1"/>
      <c r="V21" s="1"/>
      <c r="W21" s="1"/>
      <c r="X21" s="1"/>
      <c r="Y21" s="1"/>
      <c r="Z21" s="1"/>
    </row>
    <row r="22" spans="1:26" ht="42" customHeight="1">
      <c r="A22" s="4" t="s">
        <v>103</v>
      </c>
      <c r="B22" s="4" t="s">
        <v>68</v>
      </c>
      <c r="C22" s="4" t="s">
        <v>104</v>
      </c>
      <c r="D22" s="17" t="str">
        <f>IFERROR(VLOOKUP(A22,翻译清单!$A$6:$L$155,3,FALSE),"")</f>
        <v>暂停功能</v>
      </c>
      <c r="E22" s="8">
        <v>1</v>
      </c>
      <c r="F22" s="8">
        <v>437</v>
      </c>
      <c r="G22" s="8">
        <v>708</v>
      </c>
      <c r="H22" s="8">
        <v>258</v>
      </c>
      <c r="I22" s="8">
        <v>37</v>
      </c>
      <c r="J22" s="8">
        <v>30</v>
      </c>
      <c r="K22" s="4" t="s">
        <v>69</v>
      </c>
      <c r="L22" s="4" t="s">
        <v>473</v>
      </c>
      <c r="M22" s="4" t="s">
        <v>70</v>
      </c>
      <c r="N22" s="9">
        <v>0.99929999999999997</v>
      </c>
      <c r="O22" s="9">
        <v>1</v>
      </c>
      <c r="P22" s="4" t="s">
        <v>71</v>
      </c>
      <c r="Q22" s="4"/>
      <c r="R22" s="1"/>
      <c r="S22" s="1"/>
      <c r="T22" s="1"/>
      <c r="U22" s="1"/>
      <c r="V22" s="1"/>
      <c r="W22" s="1"/>
      <c r="X22" s="1"/>
      <c r="Y22" s="1"/>
      <c r="Z22" s="1"/>
    </row>
    <row r="23" spans="1:26" ht="42" customHeight="1">
      <c r="A23" s="4" t="s">
        <v>110</v>
      </c>
      <c r="B23" s="4" t="s">
        <v>68</v>
      </c>
      <c r="C23" s="4" t="s">
        <v>111</v>
      </c>
      <c r="D23" s="17" t="str">
        <f>IFERROR(VLOOKUP(A23,翻译清单!$A$6:$L$155,3,FALSE),"")</f>
        <v>是</v>
      </c>
      <c r="E23" s="8">
        <v>1</v>
      </c>
      <c r="F23" s="8">
        <v>24</v>
      </c>
      <c r="G23" s="8">
        <v>316</v>
      </c>
      <c r="H23" s="8">
        <v>690</v>
      </c>
      <c r="I23" s="8">
        <v>41</v>
      </c>
      <c r="J23" s="8">
        <v>34</v>
      </c>
      <c r="K23" s="4" t="s">
        <v>69</v>
      </c>
      <c r="L23" s="4" t="s">
        <v>467</v>
      </c>
      <c r="M23" s="4" t="s">
        <v>70</v>
      </c>
      <c r="N23" s="9">
        <v>0.99250000000000005</v>
      </c>
      <c r="O23" s="9">
        <v>0.68600000000000005</v>
      </c>
      <c r="P23" s="4" t="s">
        <v>76</v>
      </c>
      <c r="Q23" s="4"/>
      <c r="R23" s="1"/>
      <c r="S23" s="1"/>
      <c r="T23" s="1"/>
      <c r="U23" s="1"/>
      <c r="V23" s="1"/>
      <c r="W23" s="1"/>
      <c r="X23" s="1"/>
      <c r="Y23" s="1"/>
      <c r="Z23" s="1"/>
    </row>
    <row r="24" spans="1:26" ht="42" customHeight="1">
      <c r="A24" s="4" t="s">
        <v>113</v>
      </c>
      <c r="B24" s="4" t="s">
        <v>68</v>
      </c>
      <c r="C24" s="4" t="s">
        <v>114</v>
      </c>
      <c r="D24" s="17" t="str">
        <f>IFERROR(VLOOKUP(A24,翻译清单!$A$6:$L$155,3,FALSE),"")</f>
        <v>否</v>
      </c>
      <c r="E24" s="8">
        <v>1</v>
      </c>
      <c r="F24" s="8">
        <v>24</v>
      </c>
      <c r="G24" s="8">
        <v>316</v>
      </c>
      <c r="H24" s="8">
        <v>690</v>
      </c>
      <c r="I24" s="8">
        <v>41</v>
      </c>
      <c r="J24" s="8">
        <v>34</v>
      </c>
      <c r="K24" s="4" t="s">
        <v>69</v>
      </c>
      <c r="L24" s="4" t="s">
        <v>467</v>
      </c>
      <c r="M24" s="4" t="s">
        <v>70</v>
      </c>
      <c r="N24" s="9">
        <v>0.99250000000000005</v>
      </c>
      <c r="O24" s="9">
        <v>0.67400000000000004</v>
      </c>
      <c r="P24" s="4" t="s">
        <v>76</v>
      </c>
      <c r="Q24" s="4"/>
      <c r="R24" s="1"/>
      <c r="S24" s="1"/>
      <c r="T24" s="1"/>
      <c r="U24" s="1"/>
      <c r="V24" s="1"/>
      <c r="W24" s="1"/>
      <c r="X24" s="1"/>
      <c r="Y24" s="1"/>
      <c r="Z24" s="1"/>
    </row>
    <row r="25" spans="1:26" ht="42" customHeight="1">
      <c r="A25" s="4" t="s">
        <v>115</v>
      </c>
      <c r="B25" s="4" t="s">
        <v>68</v>
      </c>
      <c r="C25" s="4" t="s">
        <v>116</v>
      </c>
      <c r="D25" s="17" t="str">
        <f>IFERROR(VLOOKUP(A25,翻译清单!$A$6:$L$155,3,FALSE),"")</f>
        <v>开</v>
      </c>
      <c r="E25" s="8">
        <v>1</v>
      </c>
      <c r="F25" s="8">
        <v>708</v>
      </c>
      <c r="G25" s="8">
        <v>380</v>
      </c>
      <c r="H25" s="8">
        <v>101</v>
      </c>
      <c r="I25" s="8">
        <v>25</v>
      </c>
      <c r="J25" s="8">
        <v>20</v>
      </c>
      <c r="K25" s="4" t="s">
        <v>69</v>
      </c>
      <c r="L25" s="4" t="s">
        <v>475</v>
      </c>
      <c r="M25" s="4" t="s">
        <v>70</v>
      </c>
      <c r="N25" s="9">
        <v>0.99950000000000006</v>
      </c>
      <c r="O25" s="9">
        <v>0.79</v>
      </c>
      <c r="P25" s="4" t="s">
        <v>76</v>
      </c>
      <c r="Q25" s="4"/>
      <c r="R25" s="1"/>
      <c r="S25" s="1"/>
      <c r="T25" s="1"/>
      <c r="U25" s="1"/>
      <c r="V25" s="1"/>
      <c r="W25" s="1"/>
      <c r="X25" s="1"/>
      <c r="Y25" s="1"/>
      <c r="Z25" s="1"/>
    </row>
    <row r="26" spans="1:26" ht="42" customHeight="1">
      <c r="A26" s="4" t="s">
        <v>121</v>
      </c>
      <c r="B26" s="4" t="s">
        <v>68</v>
      </c>
      <c r="C26" s="4" t="s">
        <v>122</v>
      </c>
      <c r="D26" s="17" t="str">
        <f>IFERROR(VLOOKUP(A26,翻译清单!$A$6:$L$155,3,FALSE),"")</f>
        <v>关闭</v>
      </c>
      <c r="E26" s="8">
        <v>2</v>
      </c>
      <c r="F26" s="8">
        <v>708</v>
      </c>
      <c r="G26" s="8">
        <v>380</v>
      </c>
      <c r="H26" s="8">
        <v>101</v>
      </c>
      <c r="I26" s="8">
        <v>25</v>
      </c>
      <c r="J26" s="8">
        <v>20</v>
      </c>
      <c r="K26" s="4" t="s">
        <v>69</v>
      </c>
      <c r="L26" s="4" t="s">
        <v>475</v>
      </c>
      <c r="M26" s="4" t="s">
        <v>70</v>
      </c>
      <c r="N26" s="9">
        <v>0.99950000000000006</v>
      </c>
      <c r="O26" s="9">
        <v>0.86</v>
      </c>
      <c r="P26" s="4" t="s">
        <v>71</v>
      </c>
      <c r="Q26" s="4"/>
      <c r="R26" s="1"/>
      <c r="S26" s="1"/>
      <c r="T26" s="1"/>
      <c r="U26" s="1"/>
      <c r="V26" s="1"/>
      <c r="W26" s="1"/>
      <c r="X26" s="1"/>
      <c r="Y26" s="1"/>
      <c r="Z26" s="1"/>
    </row>
    <row r="27" spans="1:26" ht="42" customHeight="1">
      <c r="A27" s="4" t="s">
        <v>123</v>
      </c>
      <c r="B27" s="4" t="s">
        <v>125</v>
      </c>
      <c r="C27" s="4" t="s">
        <v>124</v>
      </c>
      <c r="D27" s="17" t="str">
        <f>IFERROR(VLOOKUP(A27,翻译清单!$A$6:$L$155,3,FALSE),"")</f>
        <v>*日期</v>
      </c>
      <c r="E27" s="8">
        <v>1</v>
      </c>
      <c r="F27" s="8">
        <v>25</v>
      </c>
      <c r="G27" s="8">
        <v>349</v>
      </c>
      <c r="H27" s="8">
        <v>90</v>
      </c>
      <c r="I27" s="8">
        <v>24</v>
      </c>
      <c r="J27" s="8">
        <v>20</v>
      </c>
      <c r="K27" s="4" t="s">
        <v>126</v>
      </c>
      <c r="L27" s="4" t="s">
        <v>476</v>
      </c>
      <c r="M27" s="4" t="s">
        <v>127</v>
      </c>
      <c r="N27" s="9">
        <v>0.99839999999999995</v>
      </c>
      <c r="O27" s="9">
        <v>1</v>
      </c>
      <c r="P27" s="4" t="s">
        <v>71</v>
      </c>
      <c r="Q27" s="4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>
      <c r="A28" s="4" t="s">
        <v>128</v>
      </c>
      <c r="B28" s="4" t="s">
        <v>125</v>
      </c>
      <c r="C28" s="4" t="s">
        <v>129</v>
      </c>
      <c r="D28" s="17" t="str">
        <f>IFERROR(VLOOKUP(A28,翻译清单!$A$6:$L$155,3,FALSE),"")</f>
        <v>*章节</v>
      </c>
      <c r="E28" s="8">
        <v>1</v>
      </c>
      <c r="F28" s="8">
        <v>25</v>
      </c>
      <c r="G28" s="8">
        <v>389</v>
      </c>
      <c r="H28" s="8">
        <v>134</v>
      </c>
      <c r="I28" s="8">
        <v>24</v>
      </c>
      <c r="J28" s="8">
        <v>20</v>
      </c>
      <c r="K28" s="4" t="s">
        <v>126</v>
      </c>
      <c r="L28" s="4" t="s">
        <v>477</v>
      </c>
      <c r="M28" s="4" t="s">
        <v>127</v>
      </c>
      <c r="N28" s="9">
        <v>0.99399999999999999</v>
      </c>
      <c r="O28" s="9">
        <v>1</v>
      </c>
      <c r="P28" s="4" t="s">
        <v>71</v>
      </c>
      <c r="Q28" s="4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4" t="s">
        <v>130</v>
      </c>
      <c r="B29" s="4" t="s">
        <v>125</v>
      </c>
      <c r="C29" s="4" t="s">
        <v>131</v>
      </c>
      <c r="D29" s="17" t="str">
        <f>IFERROR(VLOOKUP(A29,翻译清单!$A$6:$L$155,3,FALSE),"")</f>
        <v>*备注</v>
      </c>
      <c r="E29" s="8">
        <v>1</v>
      </c>
      <c r="F29" s="8">
        <v>26</v>
      </c>
      <c r="G29" s="8">
        <v>430</v>
      </c>
      <c r="H29" s="8">
        <v>135</v>
      </c>
      <c r="I29" s="8">
        <v>21</v>
      </c>
      <c r="J29" s="8">
        <v>17</v>
      </c>
      <c r="K29" s="4" t="s">
        <v>126</v>
      </c>
      <c r="L29" s="4" t="s">
        <v>478</v>
      </c>
      <c r="M29" s="4" t="s">
        <v>127</v>
      </c>
      <c r="N29" s="9">
        <v>0.97509999999999997</v>
      </c>
      <c r="O29" s="9">
        <v>1</v>
      </c>
      <c r="P29" s="4" t="s">
        <v>71</v>
      </c>
      <c r="Q29" s="4"/>
      <c r="R29" s="1"/>
      <c r="S29" s="1"/>
      <c r="T29" s="1"/>
      <c r="U29" s="1"/>
      <c r="V29" s="1"/>
      <c r="W29" s="1"/>
      <c r="X29" s="1"/>
      <c r="Y29" s="1"/>
      <c r="Z29" s="1"/>
    </row>
    <row r="30" spans="1:26" ht="42" customHeight="1">
      <c r="A30" s="4" t="s">
        <v>132</v>
      </c>
      <c r="B30" s="4" t="s">
        <v>125</v>
      </c>
      <c r="C30" s="4" t="s">
        <v>133</v>
      </c>
      <c r="D30" s="17" t="str">
        <f>IFERROR(VLOOKUP(A30,翻译清单!$A$6:$L$155,3,FALSE),"")</f>
        <v>融化的风花与白兔</v>
      </c>
      <c r="E30" s="8">
        <v>1</v>
      </c>
      <c r="F30" s="8">
        <v>654</v>
      </c>
      <c r="G30" s="8">
        <v>543</v>
      </c>
      <c r="H30" s="8">
        <v>26</v>
      </c>
      <c r="I30" s="8">
        <v>32</v>
      </c>
      <c r="J30" s="8">
        <v>26</v>
      </c>
      <c r="K30" s="4" t="s">
        <v>126</v>
      </c>
      <c r="L30" s="4" t="s">
        <v>479</v>
      </c>
      <c r="M30" s="4" t="s">
        <v>127</v>
      </c>
      <c r="N30" s="9">
        <v>0.97750000000000004</v>
      </c>
      <c r="O30" s="9">
        <v>0.68200000000000005</v>
      </c>
      <c r="P30" s="4" t="s">
        <v>76</v>
      </c>
      <c r="Q30" s="4"/>
      <c r="R30" s="1"/>
      <c r="S30" s="1"/>
      <c r="T30" s="1"/>
      <c r="U30" s="1"/>
      <c r="V30" s="1"/>
      <c r="W30" s="1"/>
      <c r="X30" s="1"/>
      <c r="Y30" s="1"/>
      <c r="Z30" s="1"/>
    </row>
    <row r="31" spans="1:26" ht="42" customHeight="1">
      <c r="A31" s="4" t="s">
        <v>137</v>
      </c>
      <c r="B31" s="4" t="s">
        <v>125</v>
      </c>
      <c r="C31" s="4" t="s">
        <v>138</v>
      </c>
      <c r="D31" s="17" t="str">
        <f>IFERROR(VLOOKUP(A31,翻译清单!$A$6:$L$155,3,FALSE),"")</f>
        <v>TOKERU FUUKA TO SHIROUSAGI</v>
      </c>
      <c r="E31" s="8">
        <v>1</v>
      </c>
      <c r="F31" s="8">
        <v>722</v>
      </c>
      <c r="G31" s="8">
        <v>581</v>
      </c>
      <c r="H31" s="8">
        <v>100</v>
      </c>
      <c r="I31" s="8">
        <v>7</v>
      </c>
      <c r="J31" s="8">
        <v>6</v>
      </c>
      <c r="K31" s="4" t="s">
        <v>126</v>
      </c>
      <c r="L31" s="4" t="s">
        <v>480</v>
      </c>
      <c r="M31" s="4" t="s">
        <v>127</v>
      </c>
      <c r="N31" s="9">
        <v>0.99719999999999998</v>
      </c>
      <c r="O31" s="9">
        <v>1</v>
      </c>
      <c r="P31" s="4" t="s">
        <v>71</v>
      </c>
      <c r="Q31" s="4"/>
      <c r="R31" s="1"/>
      <c r="S31" s="1"/>
      <c r="T31" s="1"/>
      <c r="U31" s="1"/>
      <c r="V31" s="1"/>
      <c r="W31" s="1"/>
      <c r="X31" s="1"/>
      <c r="Y31" s="1"/>
      <c r="Z31" s="1"/>
    </row>
    <row r="32" spans="1:26" ht="42" customHeight="1">
      <c r="A32" s="4" t="s">
        <v>140</v>
      </c>
      <c r="B32" s="4" t="s">
        <v>125</v>
      </c>
      <c r="C32" s="4" t="s">
        <v>141</v>
      </c>
      <c r="D32" s="17" t="str">
        <f>IFERROR(VLOOKUP(A32,翻译清单!$A$6:$L$155,3,FALSE),"")</f>
        <v>无数据</v>
      </c>
      <c r="E32" s="8">
        <v>1</v>
      </c>
      <c r="F32" s="8">
        <v>663</v>
      </c>
      <c r="G32" s="8">
        <v>613</v>
      </c>
      <c r="H32" s="8">
        <v>85</v>
      </c>
      <c r="I32" s="8">
        <v>14</v>
      </c>
      <c r="J32" s="8">
        <v>11</v>
      </c>
      <c r="K32" s="4" t="s">
        <v>126</v>
      </c>
      <c r="L32" s="4" t="s">
        <v>481</v>
      </c>
      <c r="M32" s="4" t="s">
        <v>127</v>
      </c>
      <c r="N32" s="9">
        <v>0.95669999999999999</v>
      </c>
      <c r="O32" s="9">
        <v>0.91200000000000003</v>
      </c>
      <c r="P32" s="4" t="s">
        <v>71</v>
      </c>
      <c r="Q32" s="4"/>
      <c r="R32" s="1"/>
      <c r="S32" s="1"/>
      <c r="T32" s="1"/>
      <c r="U32" s="1"/>
      <c r="V32" s="1"/>
      <c r="W32" s="1"/>
      <c r="X32" s="1"/>
      <c r="Y32" s="1"/>
      <c r="Z32" s="1"/>
    </row>
    <row r="33" spans="1:26" ht="42" customHeight="1">
      <c r="A33" s="4" t="s">
        <v>145</v>
      </c>
      <c r="B33" s="4" t="s">
        <v>125</v>
      </c>
      <c r="C33" s="4" t="s">
        <v>146</v>
      </c>
      <c r="D33" s="17" t="str">
        <f>IFERROR(VLOOKUP(A33,翻译清单!$A$6:$L$155,3,FALSE),"")</f>
        <v>快速读取</v>
      </c>
      <c r="E33" s="8">
        <v>1</v>
      </c>
      <c r="F33" s="8">
        <v>599</v>
      </c>
      <c r="G33" s="8">
        <v>640</v>
      </c>
      <c r="H33" s="8">
        <v>456</v>
      </c>
      <c r="I33" s="8">
        <v>61</v>
      </c>
      <c r="J33" s="8">
        <v>50</v>
      </c>
      <c r="K33" s="4" t="s">
        <v>126</v>
      </c>
      <c r="L33" s="4" t="s">
        <v>482</v>
      </c>
      <c r="M33" s="4" t="s">
        <v>127</v>
      </c>
      <c r="N33" s="9">
        <v>0.99929999999999997</v>
      </c>
      <c r="O33" s="9">
        <v>1</v>
      </c>
      <c r="P33" s="4" t="s">
        <v>71</v>
      </c>
      <c r="Q33" s="4"/>
      <c r="R33" s="1"/>
      <c r="S33" s="1"/>
      <c r="T33" s="1"/>
      <c r="U33" s="1"/>
      <c r="V33" s="1"/>
      <c r="W33" s="1"/>
      <c r="X33" s="1"/>
      <c r="Y33" s="1"/>
      <c r="Z33" s="1"/>
    </row>
    <row r="34" spans="1:26" ht="42" customHeight="1">
      <c r="A34" s="4" t="s">
        <v>150</v>
      </c>
      <c r="B34" s="4" t="s">
        <v>125</v>
      </c>
      <c r="C34" s="4" t="s">
        <v>151</v>
      </c>
      <c r="D34" s="17" t="str">
        <f>IFERROR(VLOOKUP(A34,翻译清单!$A$6:$L$155,3,FALSE),"")</f>
        <v>显示章节和备注</v>
      </c>
      <c r="E34" s="8">
        <v>5</v>
      </c>
      <c r="F34" s="8">
        <v>320</v>
      </c>
      <c r="G34" s="8">
        <v>879</v>
      </c>
      <c r="H34" s="8">
        <v>218</v>
      </c>
      <c r="I34" s="8">
        <v>20</v>
      </c>
      <c r="J34" s="8">
        <v>16</v>
      </c>
      <c r="K34" s="4" t="s">
        <v>126</v>
      </c>
      <c r="L34" s="4" t="s">
        <v>483</v>
      </c>
      <c r="M34" s="4" t="s">
        <v>127</v>
      </c>
      <c r="N34" s="9">
        <v>0.99650000000000005</v>
      </c>
      <c r="O34" s="9">
        <v>1</v>
      </c>
      <c r="P34" s="4" t="s">
        <v>71</v>
      </c>
      <c r="Q34" s="4"/>
      <c r="R34" s="1"/>
      <c r="S34" s="1"/>
      <c r="T34" s="1"/>
      <c r="U34" s="1"/>
      <c r="V34" s="1"/>
      <c r="W34" s="1"/>
      <c r="X34" s="1"/>
      <c r="Y34" s="1"/>
      <c r="Z34" s="1"/>
    </row>
    <row r="35" spans="1:26" ht="42" customHeight="1">
      <c r="A35" s="4" t="s">
        <v>152</v>
      </c>
      <c r="B35" s="4" t="s">
        <v>125</v>
      </c>
      <c r="C35" s="4" t="s">
        <v>153</v>
      </c>
      <c r="D35" s="17" t="str">
        <f>IFERROR(VLOOKUP(A35,翻译清单!$A$6:$L$155,3,FALSE),"")</f>
        <v>保存</v>
      </c>
      <c r="E35" s="8">
        <v>1</v>
      </c>
      <c r="F35" s="8">
        <v>631</v>
      </c>
      <c r="G35" s="8">
        <v>757</v>
      </c>
      <c r="H35" s="8">
        <v>188</v>
      </c>
      <c r="I35" s="8">
        <v>60</v>
      </c>
      <c r="J35" s="8">
        <v>49</v>
      </c>
      <c r="K35" s="4" t="s">
        <v>126</v>
      </c>
      <c r="L35" s="4" t="s">
        <v>484</v>
      </c>
      <c r="M35" s="4" t="s">
        <v>127</v>
      </c>
      <c r="N35" s="9">
        <v>0.99939999999999996</v>
      </c>
      <c r="O35" s="9">
        <v>1</v>
      </c>
      <c r="P35" s="4" t="s">
        <v>71</v>
      </c>
      <c r="Q35" s="4"/>
      <c r="R35" s="1"/>
      <c r="S35" s="1"/>
      <c r="T35" s="1"/>
      <c r="U35" s="1"/>
      <c r="V35" s="1"/>
      <c r="W35" s="1"/>
      <c r="X35" s="1"/>
      <c r="Y35" s="1"/>
      <c r="Z35" s="1"/>
    </row>
    <row r="36" spans="1:26" ht="42" customHeight="1">
      <c r="A36" s="4" t="s">
        <v>157</v>
      </c>
      <c r="B36" s="4" t="s">
        <v>125</v>
      </c>
      <c r="C36" s="4" t="s">
        <v>158</v>
      </c>
      <c r="D36" s="17" t="str">
        <f>IFERROR(VLOOKUP(A36,翻译清单!$A$6:$L$155,3,FALSE),"")</f>
        <v>读取</v>
      </c>
      <c r="E36" s="8">
        <v>2</v>
      </c>
      <c r="F36" s="8">
        <v>629</v>
      </c>
      <c r="G36" s="8">
        <v>812</v>
      </c>
      <c r="H36" s="8">
        <v>188</v>
      </c>
      <c r="I36" s="8">
        <v>68</v>
      </c>
      <c r="J36" s="8">
        <v>56</v>
      </c>
      <c r="K36" s="4" t="s">
        <v>126</v>
      </c>
      <c r="L36" s="4" t="s">
        <v>485</v>
      </c>
      <c r="M36" s="4" t="s">
        <v>127</v>
      </c>
      <c r="N36" s="9">
        <v>0.91239999999999999</v>
      </c>
      <c r="O36" s="9">
        <v>1</v>
      </c>
      <c r="P36" s="4" t="s">
        <v>76</v>
      </c>
      <c r="Q36" s="4"/>
      <c r="R36" s="1"/>
      <c r="S36" s="1"/>
      <c r="T36" s="1"/>
      <c r="U36" s="1"/>
      <c r="V36" s="1"/>
      <c r="W36" s="1"/>
      <c r="X36" s="1"/>
      <c r="Y36" s="1"/>
      <c r="Z36" s="1"/>
    </row>
    <row r="37" spans="1:26" ht="42" customHeight="1">
      <c r="A37" s="4" t="s">
        <v>159</v>
      </c>
      <c r="B37" s="4" t="s">
        <v>125</v>
      </c>
      <c r="C37" s="4" t="s">
        <v>160</v>
      </c>
      <c r="D37" s="17" t="str">
        <f>IFERROR(VLOOKUP(A37,翻译清单!$A$6:$L$155,3,FALSE),"")</f>
        <v>长按EDIT按钮</v>
      </c>
      <c r="E37" s="8">
        <v>6</v>
      </c>
      <c r="F37" s="8">
        <v>324</v>
      </c>
      <c r="G37" s="8">
        <v>951</v>
      </c>
      <c r="H37" s="8">
        <v>172</v>
      </c>
      <c r="I37" s="8">
        <v>21</v>
      </c>
      <c r="J37" s="8">
        <v>17</v>
      </c>
      <c r="K37" s="4" t="s">
        <v>126</v>
      </c>
      <c r="L37" s="4" t="s">
        <v>468</v>
      </c>
      <c r="M37" s="4" t="s">
        <v>127</v>
      </c>
      <c r="N37" s="9">
        <v>0.99419999999999997</v>
      </c>
      <c r="O37" s="9">
        <v>1</v>
      </c>
      <c r="P37" s="4" t="s">
        <v>71</v>
      </c>
      <c r="Q37" s="4"/>
      <c r="R37" s="1"/>
      <c r="S37" s="1"/>
      <c r="T37" s="1"/>
      <c r="U37" s="1"/>
      <c r="V37" s="1"/>
      <c r="W37" s="1"/>
      <c r="X37" s="1"/>
      <c r="Y37" s="1"/>
      <c r="Z37" s="1"/>
    </row>
    <row r="38" spans="1:26" ht="42" customHeight="1">
      <c r="A38" s="4" t="s">
        <v>161</v>
      </c>
      <c r="B38" s="4" t="s">
        <v>125</v>
      </c>
      <c r="C38" s="4" t="s">
        <v>162</v>
      </c>
      <c r="D38" s="17" t="str">
        <f>IFERROR(VLOOKUP(A38,翻译清单!$A$6:$L$155,3,FALSE),"")</f>
        <v>数据替换</v>
      </c>
      <c r="E38" s="8">
        <v>1</v>
      </c>
      <c r="F38" s="8">
        <v>286</v>
      </c>
      <c r="G38" s="8">
        <v>1014</v>
      </c>
      <c r="H38" s="8">
        <v>184</v>
      </c>
      <c r="I38" s="8">
        <v>31</v>
      </c>
      <c r="J38" s="8">
        <v>25</v>
      </c>
      <c r="K38" s="4" t="s">
        <v>126</v>
      </c>
      <c r="L38" s="4" t="s">
        <v>486</v>
      </c>
      <c r="M38" s="4" t="s">
        <v>127</v>
      </c>
      <c r="N38" s="9">
        <v>0.99619999999999997</v>
      </c>
      <c r="O38" s="9">
        <v>1</v>
      </c>
      <c r="P38" s="4" t="s">
        <v>71</v>
      </c>
      <c r="Q38" s="4"/>
      <c r="R38" s="1"/>
      <c r="S38" s="1"/>
      <c r="T38" s="1"/>
      <c r="U38" s="1"/>
      <c r="V38" s="1"/>
      <c r="W38" s="1"/>
      <c r="X38" s="1"/>
      <c r="Y38" s="1"/>
      <c r="Z38" s="1"/>
    </row>
    <row r="39" spans="1:26" ht="42" customHeight="1">
      <c r="A39" s="4" t="s">
        <v>166</v>
      </c>
      <c r="B39" s="4" t="s">
        <v>125</v>
      </c>
      <c r="C39" s="4" t="s">
        <v>167</v>
      </c>
      <c r="D39" s="17" t="str">
        <f>IFERROR(VLOOKUP(A39,翻译清单!$A$6:$L$155,3,FALSE),"")</f>
        <v>数据复制</v>
      </c>
      <c r="E39" s="8">
        <v>1</v>
      </c>
      <c r="F39" s="8">
        <v>570</v>
      </c>
      <c r="G39" s="8">
        <v>1061</v>
      </c>
      <c r="H39" s="8">
        <v>159</v>
      </c>
      <c r="I39" s="8">
        <v>28</v>
      </c>
      <c r="J39" s="8">
        <v>23</v>
      </c>
      <c r="K39" s="4" t="s">
        <v>126</v>
      </c>
      <c r="L39" s="4" t="s">
        <v>472</v>
      </c>
      <c r="M39" s="4" t="s">
        <v>127</v>
      </c>
      <c r="N39" s="9">
        <v>0.99660000000000004</v>
      </c>
      <c r="O39" s="9">
        <v>1</v>
      </c>
      <c r="P39" s="4" t="s">
        <v>71</v>
      </c>
      <c r="Q39" s="4"/>
      <c r="R39" s="1"/>
      <c r="S39" s="1"/>
      <c r="T39" s="1"/>
      <c r="U39" s="1"/>
      <c r="V39" s="1"/>
      <c r="W39" s="1"/>
      <c r="X39" s="1"/>
      <c r="Y39" s="1"/>
      <c r="Z39" s="1"/>
    </row>
    <row r="40" spans="1:26" ht="42" customHeight="1">
      <c r="A40" s="4" t="s">
        <v>168</v>
      </c>
      <c r="B40" s="4" t="s">
        <v>125</v>
      </c>
      <c r="C40" s="4" t="s">
        <v>169</v>
      </c>
      <c r="D40" s="17" t="str">
        <f>IFERROR(VLOOKUP(A40,翻译清单!$A$6:$L$155,3,FALSE),"")</f>
        <v>额外返回</v>
      </c>
      <c r="E40" s="8">
        <v>2</v>
      </c>
      <c r="F40" s="8">
        <v>0</v>
      </c>
      <c r="G40" s="8">
        <v>1042</v>
      </c>
      <c r="H40" s="8">
        <v>257</v>
      </c>
      <c r="I40" s="8">
        <v>23</v>
      </c>
      <c r="J40" s="8">
        <v>19</v>
      </c>
      <c r="K40" s="4" t="s">
        <v>126</v>
      </c>
      <c r="L40" s="4" t="s">
        <v>487</v>
      </c>
      <c r="M40" s="4" t="s">
        <v>127</v>
      </c>
      <c r="N40" s="9">
        <v>0.99950000000000006</v>
      </c>
      <c r="O40" s="9">
        <v>0.89200000000000002</v>
      </c>
      <c r="P40" s="4" t="s">
        <v>71</v>
      </c>
      <c r="Q40" s="4"/>
      <c r="R40" s="1"/>
      <c r="S40" s="1"/>
      <c r="T40" s="1"/>
      <c r="U40" s="1"/>
      <c r="V40" s="1"/>
      <c r="W40" s="1"/>
      <c r="X40" s="1"/>
      <c r="Y40" s="1"/>
      <c r="Z40" s="1"/>
    </row>
    <row r="41" spans="1:26" ht="42" customHeight="1">
      <c r="A41" s="4" t="s">
        <v>170</v>
      </c>
      <c r="B41" s="4" t="s">
        <v>125</v>
      </c>
      <c r="C41" s="4" t="s">
        <v>171</v>
      </c>
      <c r="D41" s="17" t="str">
        <f>IFERROR(VLOOKUP(A41,翻译清单!$A$6:$L$155,3,FALSE),"")</f>
        <v>额外读取</v>
      </c>
      <c r="E41" s="8">
        <v>1</v>
      </c>
      <c r="F41" s="8">
        <v>9</v>
      </c>
      <c r="G41" s="8">
        <v>1023</v>
      </c>
      <c r="H41" s="8">
        <v>249</v>
      </c>
      <c r="I41" s="8">
        <v>22</v>
      </c>
      <c r="J41" s="8">
        <v>18</v>
      </c>
      <c r="K41" s="4" t="s">
        <v>126</v>
      </c>
      <c r="L41" s="4" t="s">
        <v>488</v>
      </c>
      <c r="M41" s="4" t="s">
        <v>127</v>
      </c>
      <c r="N41" s="9">
        <v>0.99850000000000005</v>
      </c>
      <c r="O41" s="9">
        <v>0.81799999999999995</v>
      </c>
      <c r="P41" s="4" t="s">
        <v>76</v>
      </c>
      <c r="Q41" s="4"/>
      <c r="R41" s="1"/>
      <c r="S41" s="1"/>
      <c r="T41" s="1"/>
      <c r="U41" s="1"/>
      <c r="V41" s="1"/>
      <c r="W41" s="1"/>
      <c r="X41" s="1"/>
      <c r="Y41" s="1"/>
      <c r="Z41" s="1"/>
    </row>
    <row r="42" spans="1:26" ht="42" customHeight="1">
      <c r="A42" s="4" t="s">
        <v>172</v>
      </c>
      <c r="B42" s="4" t="s">
        <v>125</v>
      </c>
      <c r="C42" s="4" t="s">
        <v>173</v>
      </c>
      <c r="D42" s="17" t="str">
        <f>IFERROR(VLOOKUP(A42,翻译清单!$A$6:$L$155,3,FALSE),"")</f>
        <v>保存</v>
      </c>
      <c r="E42" s="8">
        <v>2</v>
      </c>
      <c r="F42" s="8">
        <v>100</v>
      </c>
      <c r="G42" s="8">
        <v>1063</v>
      </c>
      <c r="H42" s="8">
        <v>157</v>
      </c>
      <c r="I42" s="8">
        <v>21</v>
      </c>
      <c r="J42" s="8">
        <v>17</v>
      </c>
      <c r="K42" s="4" t="s">
        <v>126</v>
      </c>
      <c r="L42" s="4" t="s">
        <v>489</v>
      </c>
      <c r="M42" s="4" t="s">
        <v>127</v>
      </c>
      <c r="N42" s="9">
        <v>0.99809999999999999</v>
      </c>
      <c r="O42" s="9">
        <v>0.82499999999999996</v>
      </c>
      <c r="P42" s="4" t="s">
        <v>71</v>
      </c>
      <c r="Q42" s="4"/>
      <c r="R42" s="1"/>
      <c r="S42" s="1"/>
      <c r="T42" s="1"/>
      <c r="U42" s="1"/>
      <c r="V42" s="1"/>
      <c r="W42" s="1"/>
      <c r="X42" s="1"/>
      <c r="Y42" s="1"/>
      <c r="Z42" s="1"/>
    </row>
    <row r="43" spans="1:26" ht="42" customHeight="1">
      <c r="A43" s="4" t="s">
        <v>174</v>
      </c>
      <c r="B43" s="4" t="s">
        <v>125</v>
      </c>
      <c r="C43" s="4" t="s">
        <v>175</v>
      </c>
      <c r="D43" s="17" t="str">
        <f>IFERROR(VLOOKUP(A43,翻译清单!$A$6:$L$155,3,FALSE),"")</f>
        <v>读取</v>
      </c>
      <c r="E43" s="8">
        <v>3</v>
      </c>
      <c r="F43" s="8">
        <v>100</v>
      </c>
      <c r="G43" s="8">
        <v>1063</v>
      </c>
      <c r="H43" s="8">
        <v>157</v>
      </c>
      <c r="I43" s="8">
        <v>21</v>
      </c>
      <c r="J43" s="8">
        <v>17</v>
      </c>
      <c r="K43" s="4" t="s">
        <v>126</v>
      </c>
      <c r="L43" s="4" t="s">
        <v>489</v>
      </c>
      <c r="M43" s="4" t="s">
        <v>127</v>
      </c>
      <c r="N43" s="9">
        <v>0.99809999999999999</v>
      </c>
      <c r="O43" s="9">
        <v>0.82499999999999996</v>
      </c>
      <c r="P43" s="4" t="s">
        <v>71</v>
      </c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42" customHeight="1">
      <c r="A44" s="4" t="s">
        <v>176</v>
      </c>
      <c r="B44" s="4" t="s">
        <v>125</v>
      </c>
      <c r="C44" s="4" t="s">
        <v>177</v>
      </c>
      <c r="D44" s="17" t="str">
        <f>IFERROR(VLOOKUP(A44,翻译清单!$A$6:$L$155,3,FALSE),"")</f>
        <v>新!</v>
      </c>
      <c r="E44" s="8">
        <v>2</v>
      </c>
      <c r="F44" s="8">
        <v>0</v>
      </c>
      <c r="G44" s="8">
        <v>1063</v>
      </c>
      <c r="H44" s="8">
        <v>72</v>
      </c>
      <c r="I44" s="8">
        <v>26</v>
      </c>
      <c r="J44" s="8">
        <v>21</v>
      </c>
      <c r="K44" s="4" t="s">
        <v>126</v>
      </c>
      <c r="L44" s="4" t="s">
        <v>490</v>
      </c>
      <c r="M44" s="4" t="s">
        <v>127</v>
      </c>
      <c r="N44" s="9">
        <v>0.99970000000000003</v>
      </c>
      <c r="O44" s="9">
        <v>1</v>
      </c>
      <c r="P44" s="4" t="s">
        <v>71</v>
      </c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42" customHeight="1">
      <c r="A45" s="4" t="s">
        <v>178</v>
      </c>
      <c r="B45" s="4" t="s">
        <v>125</v>
      </c>
      <c r="C45" s="4" t="s">
        <v>179</v>
      </c>
      <c r="D45" s="17" t="str">
        <f>IFERROR(VLOOKUP(A45,翻译清单!$A$6:$L$155,3,FALSE),"")</f>
        <v>快速读取</v>
      </c>
      <c r="E45" s="8">
        <v>1</v>
      </c>
      <c r="F45" s="8">
        <v>286</v>
      </c>
      <c r="G45" s="8">
        <v>1063</v>
      </c>
      <c r="H45" s="8">
        <v>176</v>
      </c>
      <c r="I45" s="8">
        <v>26</v>
      </c>
      <c r="J45" s="8">
        <v>21</v>
      </c>
      <c r="K45" s="4" t="s">
        <v>126</v>
      </c>
      <c r="L45" s="4" t="s">
        <v>491</v>
      </c>
      <c r="M45" s="4" t="s">
        <v>127</v>
      </c>
      <c r="N45" s="9">
        <v>0.99260000000000004</v>
      </c>
      <c r="O45" s="9">
        <v>0.86899999999999999</v>
      </c>
      <c r="P45" s="4" t="s">
        <v>71</v>
      </c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42" customHeight="1">
      <c r="A46" s="4" t="s">
        <v>180</v>
      </c>
      <c r="B46" s="4" t="s">
        <v>182</v>
      </c>
      <c r="C46" s="4" t="s">
        <v>181</v>
      </c>
      <c r="D46" s="17" t="str">
        <f>IFERROR(VLOOKUP(A46,翻译清单!$A$6:$L$155,3,FALSE),"")</f>
        <v>注册到列表</v>
      </c>
      <c r="E46" s="8">
        <v>3</v>
      </c>
      <c r="F46" s="8">
        <v>397</v>
      </c>
      <c r="G46" s="8">
        <v>784</v>
      </c>
      <c r="H46" s="8">
        <v>87</v>
      </c>
      <c r="I46" s="8">
        <v>19</v>
      </c>
      <c r="J46" s="8">
        <v>16</v>
      </c>
      <c r="K46" s="4" t="s">
        <v>183</v>
      </c>
      <c r="L46" s="4" t="s">
        <v>492</v>
      </c>
      <c r="M46" s="4" t="s">
        <v>184</v>
      </c>
      <c r="N46" s="9">
        <v>0.999</v>
      </c>
      <c r="O46" s="9">
        <v>1</v>
      </c>
      <c r="P46" s="4" t="s">
        <v>71</v>
      </c>
      <c r="Q46" s="4"/>
      <c r="R46" s="1"/>
      <c r="S46" s="1"/>
      <c r="T46" s="1"/>
      <c r="U46" s="1"/>
      <c r="V46" s="1"/>
      <c r="W46" s="1"/>
      <c r="X46" s="1"/>
      <c r="Y46" s="1"/>
      <c r="Z46" s="1"/>
    </row>
    <row r="47" spans="1:26" ht="42" customHeight="1">
      <c r="A47" s="4" t="s">
        <v>185</v>
      </c>
      <c r="B47" s="4" t="s">
        <v>182</v>
      </c>
      <c r="C47" s="4" t="s">
        <v>186</v>
      </c>
      <c r="D47" s="17" t="str">
        <f>IFERROR(VLOOKUP(A47,翻译清单!$A$6:$L$155,3,FALSE),"")</f>
        <v>删除列表</v>
      </c>
      <c r="E47" s="8">
        <v>3</v>
      </c>
      <c r="F47" s="8">
        <v>635</v>
      </c>
      <c r="G47" s="8">
        <v>175</v>
      </c>
      <c r="H47" s="8">
        <v>87</v>
      </c>
      <c r="I47" s="8">
        <v>19</v>
      </c>
      <c r="J47" s="8">
        <v>16</v>
      </c>
      <c r="K47" s="4" t="s">
        <v>183</v>
      </c>
      <c r="L47" s="4" t="s">
        <v>493</v>
      </c>
      <c r="M47" s="4" t="s">
        <v>184</v>
      </c>
      <c r="N47" s="9">
        <v>0.99870000000000003</v>
      </c>
      <c r="O47" s="9">
        <v>0.83299999999999996</v>
      </c>
      <c r="P47" s="4" t="s">
        <v>71</v>
      </c>
      <c r="Q47" s="4"/>
      <c r="R47" s="1"/>
      <c r="S47" s="1"/>
      <c r="T47" s="1"/>
      <c r="U47" s="1"/>
      <c r="V47" s="1"/>
      <c r="W47" s="1"/>
      <c r="X47" s="1"/>
      <c r="Y47" s="1"/>
      <c r="Z47" s="1"/>
    </row>
    <row r="48" spans="1:26" ht="42" customHeight="1">
      <c r="A48" s="4" t="s">
        <v>187</v>
      </c>
      <c r="B48" s="4" t="s">
        <v>182</v>
      </c>
      <c r="C48" s="4" t="s">
        <v>188</v>
      </c>
      <c r="D48" s="17" t="str">
        <f>IFERROR(VLOOKUP(A48,翻译清单!$A$6:$L$155,3,FALSE),"")</f>
        <v>从列表中删除</v>
      </c>
      <c r="E48" s="8">
        <v>3</v>
      </c>
      <c r="F48" s="8">
        <v>521</v>
      </c>
      <c r="G48" s="8">
        <v>387</v>
      </c>
      <c r="H48" s="8">
        <v>91</v>
      </c>
      <c r="I48" s="8">
        <v>19</v>
      </c>
      <c r="J48" s="8">
        <v>16</v>
      </c>
      <c r="K48" s="4" t="s">
        <v>183</v>
      </c>
      <c r="L48" s="4" t="s">
        <v>494</v>
      </c>
      <c r="M48" s="4" t="s">
        <v>184</v>
      </c>
      <c r="N48" s="9">
        <v>0.99790000000000001</v>
      </c>
      <c r="O48" s="9">
        <v>0.85699999999999998</v>
      </c>
      <c r="P48" s="4" t="s">
        <v>71</v>
      </c>
      <c r="Q48" s="4"/>
      <c r="R48" s="1"/>
      <c r="S48" s="1"/>
      <c r="T48" s="1"/>
      <c r="U48" s="1"/>
      <c r="V48" s="1"/>
      <c r="W48" s="1"/>
      <c r="X48" s="1"/>
      <c r="Y48" s="1"/>
      <c r="Z48" s="1"/>
    </row>
    <row r="49" spans="1:26" ht="42" customHeight="1">
      <c r="A49" s="4" t="s">
        <v>189</v>
      </c>
      <c r="B49" s="4" t="s">
        <v>182</v>
      </c>
      <c r="C49" s="4" t="s">
        <v>190</v>
      </c>
      <c r="D49" s="17" t="str">
        <f>IFERROR(VLOOKUP(A49,翻译清单!$A$6:$L$155,3,FALSE),"")</f>
        <v>加载列表</v>
      </c>
      <c r="E49" s="8">
        <v>3</v>
      </c>
      <c r="F49" s="8">
        <v>633</v>
      </c>
      <c r="G49" s="8">
        <v>387</v>
      </c>
      <c r="H49" s="8">
        <v>91</v>
      </c>
      <c r="I49" s="8">
        <v>18</v>
      </c>
      <c r="J49" s="8">
        <v>15</v>
      </c>
      <c r="K49" s="4" t="s">
        <v>183</v>
      </c>
      <c r="L49" s="4" t="s">
        <v>495</v>
      </c>
      <c r="M49" s="4" t="s">
        <v>184</v>
      </c>
      <c r="N49" s="9">
        <v>0.99950000000000006</v>
      </c>
      <c r="O49" s="9">
        <v>1</v>
      </c>
      <c r="P49" s="4" t="s">
        <v>71</v>
      </c>
      <c r="Q49" s="4"/>
      <c r="R49" s="1"/>
      <c r="S49" s="1"/>
      <c r="T49" s="1"/>
      <c r="U49" s="1"/>
      <c r="V49" s="1"/>
      <c r="W49" s="1"/>
      <c r="X49" s="1"/>
      <c r="Y49" s="1"/>
      <c r="Z49" s="1"/>
    </row>
    <row r="50" spans="1:26" ht="42" customHeight="1">
      <c r="A50" s="4" t="s">
        <v>191</v>
      </c>
      <c r="B50" s="4" t="s">
        <v>182</v>
      </c>
      <c r="C50" s="4" t="s">
        <v>192</v>
      </c>
      <c r="D50" s="17" t="str">
        <f>IFERROR(VLOOKUP(A50,翻译清单!$A$6:$L$155,3,FALSE),"")</f>
        <v>保存列表</v>
      </c>
      <c r="E50" s="8">
        <v>3</v>
      </c>
      <c r="F50" s="8">
        <v>633</v>
      </c>
      <c r="G50" s="8">
        <v>599</v>
      </c>
      <c r="H50" s="8">
        <v>91</v>
      </c>
      <c r="I50" s="8">
        <v>18</v>
      </c>
      <c r="J50" s="8">
        <v>15</v>
      </c>
      <c r="K50" s="4" t="s">
        <v>183</v>
      </c>
      <c r="L50" s="4" t="s">
        <v>496</v>
      </c>
      <c r="M50" s="4" t="s">
        <v>184</v>
      </c>
      <c r="N50" s="9">
        <v>0.96340000000000003</v>
      </c>
      <c r="O50" s="9">
        <v>1</v>
      </c>
      <c r="P50" s="4" t="s">
        <v>71</v>
      </c>
      <c r="Q50" s="4"/>
      <c r="R50" s="1"/>
      <c r="S50" s="1"/>
      <c r="T50" s="1"/>
      <c r="U50" s="1"/>
      <c r="V50" s="1"/>
      <c r="W50" s="1"/>
      <c r="X50" s="1"/>
      <c r="Y50" s="1"/>
      <c r="Z50" s="1"/>
    </row>
    <row r="51" spans="1:26" ht="42" customHeight="1">
      <c r="A51" s="4" t="s">
        <v>193</v>
      </c>
      <c r="B51" s="4" t="s">
        <v>182</v>
      </c>
      <c r="C51" s="4" t="s">
        <v>194</v>
      </c>
      <c r="D51" s="17" t="str">
        <f>IFERROR(VLOOKUP(A51,翻译清单!$A$6:$L$155,3,FALSE),"")</f>
        <v>显示播放列表</v>
      </c>
      <c r="E51" s="8">
        <v>4</v>
      </c>
      <c r="F51" s="8">
        <v>34</v>
      </c>
      <c r="G51" s="8">
        <v>747</v>
      </c>
      <c r="H51" s="8">
        <v>151</v>
      </c>
      <c r="I51" s="8">
        <v>25</v>
      </c>
      <c r="J51" s="8">
        <v>20</v>
      </c>
      <c r="K51" s="4" t="s">
        <v>183</v>
      </c>
      <c r="L51" s="4" t="s">
        <v>468</v>
      </c>
      <c r="M51" s="4" t="s">
        <v>184</v>
      </c>
      <c r="N51" s="9">
        <v>0.99929999999999997</v>
      </c>
      <c r="O51" s="9">
        <v>1</v>
      </c>
      <c r="P51" s="4" t="s">
        <v>71</v>
      </c>
      <c r="Q51" s="4"/>
      <c r="R51" s="1"/>
      <c r="S51" s="1"/>
      <c r="T51" s="1"/>
      <c r="U51" s="1"/>
      <c r="V51" s="1"/>
      <c r="W51" s="1"/>
      <c r="X51" s="1"/>
      <c r="Y51" s="1"/>
      <c r="Z51" s="1"/>
    </row>
    <row r="52" spans="1:26" ht="42" customHeight="1">
      <c r="A52" s="4" t="s">
        <v>195</v>
      </c>
      <c r="B52" s="4" t="s">
        <v>182</v>
      </c>
      <c r="C52" s="4" t="s">
        <v>196</v>
      </c>
      <c r="D52" s="17" t="str">
        <f>IFERROR(VLOOKUP(A52,翻译清单!$A$6:$L$155,3,FALSE),"")</f>
        <v>额外内容</v>
      </c>
      <c r="E52" s="8">
        <v>1</v>
      </c>
      <c r="F52" s="8">
        <v>53</v>
      </c>
      <c r="G52" s="8">
        <v>690</v>
      </c>
      <c r="H52" s="8">
        <v>222</v>
      </c>
      <c r="I52" s="8">
        <v>55</v>
      </c>
      <c r="J52" s="8">
        <v>45</v>
      </c>
      <c r="K52" s="4" t="s">
        <v>183</v>
      </c>
      <c r="L52" s="4" t="s">
        <v>497</v>
      </c>
      <c r="M52" s="4" t="s">
        <v>184</v>
      </c>
      <c r="N52" s="9">
        <v>1</v>
      </c>
      <c r="O52" s="9">
        <v>1</v>
      </c>
      <c r="P52" s="4" t="s">
        <v>71</v>
      </c>
      <c r="Q52" s="4"/>
      <c r="R52" s="1"/>
      <c r="S52" s="1"/>
      <c r="T52" s="1"/>
      <c r="U52" s="1"/>
      <c r="V52" s="1"/>
      <c r="W52" s="1"/>
      <c r="X52" s="1"/>
      <c r="Y52" s="1"/>
      <c r="Z52" s="1"/>
    </row>
    <row r="53" spans="1:26" ht="42" customHeight="1">
      <c r="A53" s="4" t="s">
        <v>197</v>
      </c>
      <c r="B53" s="4" t="s">
        <v>215</v>
      </c>
      <c r="C53" s="4" t="s">
        <v>198</v>
      </c>
      <c r="D53" s="17" t="str">
        <f>IFERROR(VLOOKUP(A53,翻译清单!$A$6:$L$155,3,FALSE),"")</f>
        <v>剧情模式 开/关</v>
      </c>
      <c r="E53" s="8">
        <v>1</v>
      </c>
      <c r="F53" s="8">
        <v>1</v>
      </c>
      <c r="G53" s="8">
        <v>47</v>
      </c>
      <c r="H53" s="8">
        <v>259</v>
      </c>
      <c r="I53" s="8">
        <v>21</v>
      </c>
      <c r="J53" s="8">
        <v>17</v>
      </c>
      <c r="K53" s="4" t="s">
        <v>216</v>
      </c>
      <c r="L53" s="4" t="s">
        <v>474</v>
      </c>
      <c r="M53" s="4" t="s">
        <v>217</v>
      </c>
      <c r="N53" s="9">
        <v>0.9919</v>
      </c>
      <c r="O53" s="9">
        <v>1</v>
      </c>
      <c r="P53" s="4" t="s">
        <v>71</v>
      </c>
      <c r="Q53" s="4"/>
      <c r="R53" s="1"/>
      <c r="S53" s="1"/>
      <c r="T53" s="1"/>
      <c r="U53" s="1"/>
      <c r="V53" s="1"/>
      <c r="W53" s="1"/>
      <c r="X53" s="1"/>
      <c r="Y53" s="1"/>
      <c r="Z53" s="1"/>
    </row>
    <row r="54" spans="1:26" ht="42" customHeight="1">
      <c r="A54" s="4" t="s">
        <v>202</v>
      </c>
      <c r="B54" s="4" t="s">
        <v>215</v>
      </c>
      <c r="C54" s="4" t="s">
        <v>203</v>
      </c>
      <c r="D54" s="17" t="str">
        <f>IFERROR(VLOOKUP(A54,翻译清单!$A$6:$L$155,3,FALSE),"")</f>
        <v>保存截图</v>
      </c>
      <c r="E54" s="8">
        <v>1</v>
      </c>
      <c r="F54" s="8">
        <v>0</v>
      </c>
      <c r="G54" s="8">
        <v>67</v>
      </c>
      <c r="H54" s="8">
        <v>307</v>
      </c>
      <c r="I54" s="8">
        <v>21</v>
      </c>
      <c r="J54" s="8">
        <v>17</v>
      </c>
      <c r="K54" s="4" t="s">
        <v>216</v>
      </c>
      <c r="L54" s="4" t="s">
        <v>474</v>
      </c>
      <c r="M54" s="4" t="s">
        <v>217</v>
      </c>
      <c r="N54" s="9">
        <v>0.99199999999999999</v>
      </c>
      <c r="O54" s="9">
        <v>0.89100000000000001</v>
      </c>
      <c r="P54" s="4" t="s">
        <v>71</v>
      </c>
      <c r="Q54" s="4"/>
      <c r="R54" s="1"/>
      <c r="S54" s="1"/>
      <c r="T54" s="1"/>
      <c r="U54" s="1"/>
      <c r="V54" s="1"/>
      <c r="W54" s="1"/>
      <c r="X54" s="1"/>
      <c r="Y54" s="1"/>
      <c r="Z54" s="1"/>
    </row>
    <row r="55" spans="1:26" ht="42" customHeight="1">
      <c r="A55" s="4" t="s">
        <v>204</v>
      </c>
      <c r="B55" s="4" t="s">
        <v>215</v>
      </c>
      <c r="C55" s="4" t="s">
        <v>205</v>
      </c>
      <c r="D55" s="17" t="str">
        <f>IFERROR(VLOOKUP(A55,翻译清单!$A$6:$L$155,3,FALSE),"")</f>
        <v>回溯记录</v>
      </c>
      <c r="E55" s="8">
        <v>1</v>
      </c>
      <c r="F55" s="8">
        <v>0</v>
      </c>
      <c r="G55" s="8">
        <v>67</v>
      </c>
      <c r="H55" s="8">
        <v>307</v>
      </c>
      <c r="I55" s="8">
        <v>21</v>
      </c>
      <c r="J55" s="8">
        <v>17</v>
      </c>
      <c r="K55" s="4" t="s">
        <v>216</v>
      </c>
      <c r="L55" s="4" t="s">
        <v>474</v>
      </c>
      <c r="M55" s="4" t="s">
        <v>217</v>
      </c>
      <c r="N55" s="9">
        <v>0.99199999999999999</v>
      </c>
      <c r="O55" s="9">
        <v>0.75900000000000001</v>
      </c>
      <c r="P55" s="4" t="s">
        <v>76</v>
      </c>
      <c r="Q55" s="4"/>
      <c r="R55" s="1"/>
      <c r="S55" s="1"/>
      <c r="T55" s="1"/>
      <c r="U55" s="1"/>
      <c r="V55" s="1"/>
      <c r="W55" s="1"/>
      <c r="X55" s="1"/>
      <c r="Y55" s="1"/>
      <c r="Z55" s="1"/>
    </row>
    <row r="56" spans="1:26" ht="42" customHeight="1">
      <c r="A56" s="4" t="s">
        <v>208</v>
      </c>
      <c r="B56" s="4" t="s">
        <v>215</v>
      </c>
      <c r="C56" s="4" t="s">
        <v>209</v>
      </c>
      <c r="D56" s="17" t="str">
        <f>IFERROR(VLOOKUP(A56,翻译清单!$A$6:$L$155,3,FALSE),"")</f>
        <v>跳过文本</v>
      </c>
      <c r="E56" s="8">
        <v>1</v>
      </c>
      <c r="F56" s="8">
        <v>0</v>
      </c>
      <c r="G56" s="8">
        <v>87</v>
      </c>
      <c r="H56" s="8">
        <v>312</v>
      </c>
      <c r="I56" s="8">
        <v>21</v>
      </c>
      <c r="J56" s="8">
        <v>17</v>
      </c>
      <c r="K56" s="4" t="s">
        <v>216</v>
      </c>
      <c r="L56" s="4" t="s">
        <v>474</v>
      </c>
      <c r="M56" s="4" t="s">
        <v>217</v>
      </c>
      <c r="N56" s="9">
        <v>0.92069999999999996</v>
      </c>
      <c r="O56" s="9">
        <v>0.84699999999999998</v>
      </c>
      <c r="P56" s="4" t="s">
        <v>76</v>
      </c>
      <c r="Q56" s="4"/>
      <c r="R56" s="1"/>
      <c r="S56" s="1"/>
      <c r="T56" s="1"/>
      <c r="U56" s="1"/>
      <c r="V56" s="1"/>
      <c r="W56" s="1"/>
      <c r="X56" s="1"/>
      <c r="Y56" s="1"/>
      <c r="Z56" s="1"/>
    </row>
    <row r="57" spans="1:26" ht="42" customHeight="1">
      <c r="A57" s="4" t="s">
        <v>210</v>
      </c>
      <c r="B57" s="4" t="s">
        <v>215</v>
      </c>
      <c r="C57" s="4" t="s">
        <v>211</v>
      </c>
      <c r="D57" s="17" t="str">
        <f>IFERROR(VLOOKUP(A57,翻译清单!$A$6:$L$155,3,FALSE),"")</f>
        <v>播放语音</v>
      </c>
      <c r="E57" s="8">
        <v>1</v>
      </c>
      <c r="F57" s="8">
        <v>0</v>
      </c>
      <c r="G57" s="8">
        <v>87</v>
      </c>
      <c r="H57" s="8">
        <v>312</v>
      </c>
      <c r="I57" s="8">
        <v>21</v>
      </c>
      <c r="J57" s="8">
        <v>17</v>
      </c>
      <c r="K57" s="4" t="s">
        <v>216</v>
      </c>
      <c r="L57" s="4" t="s">
        <v>474</v>
      </c>
      <c r="M57" s="4" t="s">
        <v>217</v>
      </c>
      <c r="N57" s="9">
        <v>0.92069999999999996</v>
      </c>
      <c r="O57" s="9">
        <v>0.75900000000000001</v>
      </c>
      <c r="P57" s="4" t="s">
        <v>76</v>
      </c>
      <c r="Q57" s="4"/>
      <c r="R57" s="1"/>
      <c r="S57" s="1"/>
      <c r="T57" s="1"/>
      <c r="U57" s="1"/>
      <c r="V57" s="1"/>
      <c r="W57" s="1"/>
      <c r="X57" s="1"/>
      <c r="Y57" s="1"/>
      <c r="Z57" s="1"/>
    </row>
    <row r="58" spans="1:26" ht="42" customHeight="1">
      <c r="A58" s="4" t="s">
        <v>213</v>
      </c>
      <c r="B58" s="4" t="s">
        <v>215</v>
      </c>
      <c r="C58" s="4" t="s">
        <v>214</v>
      </c>
      <c r="D58" s="17" t="str">
        <f>IFERROR(VLOOKUP(A58,翻译清单!$A$6:$L$155,3,FALSE),"")</f>
        <v>返回上一个选项</v>
      </c>
      <c r="E58" s="8">
        <v>1</v>
      </c>
      <c r="F58" s="8">
        <v>0</v>
      </c>
      <c r="G58" s="8">
        <v>107</v>
      </c>
      <c r="H58" s="8">
        <v>164</v>
      </c>
      <c r="I58" s="8">
        <v>21</v>
      </c>
      <c r="J58" s="8">
        <v>17</v>
      </c>
      <c r="K58" s="4" t="s">
        <v>216</v>
      </c>
      <c r="L58" s="4" t="s">
        <v>474</v>
      </c>
      <c r="M58" s="4" t="s">
        <v>217</v>
      </c>
      <c r="N58" s="9">
        <v>0.99660000000000004</v>
      </c>
      <c r="O58" s="9">
        <v>1</v>
      </c>
      <c r="P58" s="4" t="s">
        <v>71</v>
      </c>
      <c r="Q58" s="4"/>
      <c r="R58" s="1"/>
      <c r="S58" s="1"/>
      <c r="T58" s="1"/>
      <c r="U58" s="1"/>
      <c r="V58" s="1"/>
      <c r="W58" s="1"/>
      <c r="X58" s="1"/>
      <c r="Y58" s="1"/>
      <c r="Z58" s="1"/>
    </row>
    <row r="59" spans="1:26" ht="42" customHeight="1">
      <c r="A59" s="4" t="s">
        <v>218</v>
      </c>
      <c r="B59" s="4" t="s">
        <v>215</v>
      </c>
      <c r="C59" s="4" t="s">
        <v>219</v>
      </c>
      <c r="D59" s="17" t="str">
        <f>IFERROR(VLOOKUP(A59,翻译清单!$A$6:$L$155,3,FALSE),"")</f>
        <v>收藏语音</v>
      </c>
      <c r="E59" s="8">
        <v>1</v>
      </c>
      <c r="F59" s="8">
        <v>0</v>
      </c>
      <c r="G59" s="8">
        <v>126</v>
      </c>
      <c r="H59" s="8">
        <v>159</v>
      </c>
      <c r="I59" s="8">
        <v>21</v>
      </c>
      <c r="J59" s="8">
        <v>17</v>
      </c>
      <c r="K59" s="4" t="s">
        <v>216</v>
      </c>
      <c r="L59" s="4" t="s">
        <v>474</v>
      </c>
      <c r="M59" s="4" t="s">
        <v>217</v>
      </c>
      <c r="N59" s="9">
        <v>0.9607</v>
      </c>
      <c r="O59" s="9">
        <v>1</v>
      </c>
      <c r="P59" s="4" t="s">
        <v>71</v>
      </c>
      <c r="Q59" s="4"/>
      <c r="R59" s="1"/>
      <c r="S59" s="1"/>
      <c r="T59" s="1"/>
      <c r="U59" s="1"/>
      <c r="V59" s="1"/>
      <c r="W59" s="1"/>
      <c r="X59" s="1"/>
      <c r="Y59" s="1"/>
      <c r="Z59" s="1"/>
    </row>
    <row r="60" spans="1:26" ht="42" customHeight="1">
      <c r="A60" s="4" t="s">
        <v>220</v>
      </c>
      <c r="B60" s="4" t="s">
        <v>215</v>
      </c>
      <c r="C60" s="4" t="s">
        <v>221</v>
      </c>
      <c r="D60" s="17" t="str">
        <f>IFERROR(VLOOKUP(A60,翻译清单!$A$6:$L$155,3,FALSE),"")</f>
        <v>剧情图表</v>
      </c>
      <c r="E60" s="8">
        <v>1</v>
      </c>
      <c r="F60" s="8">
        <v>0</v>
      </c>
      <c r="G60" s="8">
        <v>145</v>
      </c>
      <c r="H60" s="8">
        <v>153</v>
      </c>
      <c r="I60" s="8">
        <v>21</v>
      </c>
      <c r="J60" s="8">
        <v>17</v>
      </c>
      <c r="K60" s="4" t="s">
        <v>216</v>
      </c>
      <c r="L60" s="4" t="s">
        <v>474</v>
      </c>
      <c r="M60" s="4" t="s">
        <v>217</v>
      </c>
      <c r="N60" s="9">
        <v>0.96299999999999997</v>
      </c>
      <c r="O60" s="9">
        <v>1</v>
      </c>
      <c r="P60" s="4" t="s">
        <v>71</v>
      </c>
      <c r="Q60" s="4"/>
      <c r="R60" s="1"/>
      <c r="S60" s="1"/>
      <c r="T60" s="1"/>
      <c r="U60" s="1"/>
      <c r="V60" s="1"/>
      <c r="W60" s="1"/>
      <c r="X60" s="1"/>
      <c r="Y60" s="1"/>
      <c r="Z60" s="1"/>
    </row>
    <row r="61" spans="1:26" ht="42" customHeight="1">
      <c r="A61" s="4" t="s">
        <v>222</v>
      </c>
      <c r="B61" s="4" t="s">
        <v>215</v>
      </c>
      <c r="C61" s="4" t="s">
        <v>223</v>
      </c>
      <c r="D61" s="17" t="str">
        <f>IFERROR(VLOOKUP(A61,翻译清单!$A$6:$L$155,3,FALSE),"")</f>
        <v>隐藏窗口</v>
      </c>
      <c r="E61" s="8">
        <v>1</v>
      </c>
      <c r="F61" s="8">
        <v>0</v>
      </c>
      <c r="G61" s="8">
        <v>163</v>
      </c>
      <c r="H61" s="8">
        <v>135</v>
      </c>
      <c r="I61" s="8">
        <v>21</v>
      </c>
      <c r="J61" s="8">
        <v>17</v>
      </c>
      <c r="K61" s="4" t="s">
        <v>216</v>
      </c>
      <c r="L61" s="4" t="s">
        <v>474</v>
      </c>
      <c r="M61" s="4" t="s">
        <v>217</v>
      </c>
      <c r="N61" s="9">
        <v>0.97619999999999996</v>
      </c>
      <c r="O61" s="9">
        <v>1</v>
      </c>
      <c r="P61" s="4" t="s">
        <v>71</v>
      </c>
      <c r="Q61" s="4"/>
      <c r="R61" s="1"/>
      <c r="S61" s="1"/>
      <c r="T61" s="1"/>
      <c r="U61" s="1"/>
      <c r="V61" s="1"/>
      <c r="W61" s="1"/>
      <c r="X61" s="1"/>
      <c r="Y61" s="1"/>
      <c r="Z61" s="1"/>
    </row>
    <row r="62" spans="1:26" ht="42" customHeight="1">
      <c r="A62" s="4" t="s">
        <v>227</v>
      </c>
      <c r="B62" s="4" t="s">
        <v>215</v>
      </c>
      <c r="C62" s="4" t="s">
        <v>228</v>
      </c>
      <c r="D62" s="17" t="str">
        <f>IFERROR(VLOOKUP(A62,翻译清单!$A$6:$L$155,3,FALSE),"")</f>
        <v>最小化游戏</v>
      </c>
      <c r="E62" s="8">
        <v>1</v>
      </c>
      <c r="F62" s="8">
        <v>1</v>
      </c>
      <c r="G62" s="8">
        <v>184</v>
      </c>
      <c r="H62" s="8">
        <v>139</v>
      </c>
      <c r="I62" s="8">
        <v>19</v>
      </c>
      <c r="J62" s="8">
        <v>16</v>
      </c>
      <c r="K62" s="4" t="s">
        <v>216</v>
      </c>
      <c r="L62" s="4" t="s">
        <v>474</v>
      </c>
      <c r="M62" s="4" t="s">
        <v>217</v>
      </c>
      <c r="N62" s="9">
        <v>0.99909999999999999</v>
      </c>
      <c r="O62" s="9">
        <v>1</v>
      </c>
      <c r="P62" s="4" t="s">
        <v>71</v>
      </c>
      <c r="Q62" s="4"/>
      <c r="R62" s="1"/>
      <c r="S62" s="1"/>
      <c r="T62" s="1"/>
      <c r="U62" s="1"/>
      <c r="V62" s="1"/>
      <c r="W62" s="1"/>
      <c r="X62" s="1"/>
      <c r="Y62" s="1"/>
      <c r="Z62" s="1"/>
    </row>
    <row r="63" spans="1:26" ht="42" customHeight="1">
      <c r="A63" s="4" t="s">
        <v>229</v>
      </c>
      <c r="B63" s="4" t="s">
        <v>215</v>
      </c>
      <c r="C63" s="4" t="s">
        <v>230</v>
      </c>
      <c r="D63" s="17" t="str">
        <f>IFERROR(VLOOKUP(A63,翻译清单!$A$6:$L$155,3,FALSE),"")</f>
        <v>返回标题画面</v>
      </c>
      <c r="E63" s="8">
        <v>1</v>
      </c>
      <c r="F63" s="8">
        <v>1</v>
      </c>
      <c r="G63" s="8">
        <v>203</v>
      </c>
      <c r="H63" s="8">
        <v>137</v>
      </c>
      <c r="I63" s="8">
        <v>19</v>
      </c>
      <c r="J63" s="8">
        <v>16</v>
      </c>
      <c r="K63" s="4" t="s">
        <v>216</v>
      </c>
      <c r="L63" s="4" t="s">
        <v>474</v>
      </c>
      <c r="M63" s="4" t="s">
        <v>217</v>
      </c>
      <c r="N63" s="9">
        <v>0.99880000000000002</v>
      </c>
      <c r="O63" s="9">
        <v>1</v>
      </c>
      <c r="P63" s="4" t="s">
        <v>71</v>
      </c>
      <c r="Q63" s="4"/>
      <c r="R63" s="1"/>
      <c r="S63" s="1"/>
      <c r="T63" s="1"/>
      <c r="U63" s="1"/>
      <c r="V63" s="1"/>
      <c r="W63" s="1"/>
      <c r="X63" s="1"/>
      <c r="Y63" s="1"/>
      <c r="Z63" s="1"/>
    </row>
    <row r="64" spans="1:26" ht="42" customHeight="1">
      <c r="A64" s="4" t="s">
        <v>233</v>
      </c>
      <c r="B64" s="4" t="s">
        <v>215</v>
      </c>
      <c r="C64" s="4" t="s">
        <v>234</v>
      </c>
      <c r="D64" s="17" t="str">
        <f>IFERROR(VLOOKUP(A64,翻译清单!$A$6:$L$155,3,FALSE),"")</f>
        <v>快速保存</v>
      </c>
      <c r="E64" s="8">
        <v>1</v>
      </c>
      <c r="F64" s="8">
        <v>0</v>
      </c>
      <c r="G64" s="8">
        <v>221</v>
      </c>
      <c r="H64" s="8">
        <v>134</v>
      </c>
      <c r="I64" s="8">
        <v>21</v>
      </c>
      <c r="J64" s="8">
        <v>17</v>
      </c>
      <c r="K64" s="4" t="s">
        <v>216</v>
      </c>
      <c r="L64" s="4" t="s">
        <v>474</v>
      </c>
      <c r="M64" s="4" t="s">
        <v>217</v>
      </c>
      <c r="N64" s="9">
        <v>0.99519999999999997</v>
      </c>
      <c r="O64" s="9">
        <v>1</v>
      </c>
      <c r="P64" s="4" t="s">
        <v>71</v>
      </c>
      <c r="Q64" s="4"/>
      <c r="R64" s="1"/>
      <c r="S64" s="1"/>
      <c r="T64" s="1"/>
      <c r="U64" s="1"/>
      <c r="V64" s="1"/>
      <c r="W64" s="1"/>
      <c r="X64" s="1"/>
      <c r="Y64" s="1"/>
      <c r="Z64" s="1"/>
    </row>
    <row r="65" spans="1:26" ht="42" customHeight="1">
      <c r="A65" s="4" t="s">
        <v>132</v>
      </c>
      <c r="B65" s="4" t="s">
        <v>498</v>
      </c>
      <c r="C65" s="4" t="s">
        <v>133</v>
      </c>
      <c r="D65" s="17" t="str">
        <f>IFERROR(VLOOKUP(A65,翻译清单!$A$6:$L$155,3,FALSE),"")</f>
        <v>融化的风花与白兔</v>
      </c>
      <c r="E65" s="8">
        <v>1</v>
      </c>
      <c r="F65" s="8">
        <v>51</v>
      </c>
      <c r="G65" s="8">
        <v>62</v>
      </c>
      <c r="H65" s="8">
        <v>142</v>
      </c>
      <c r="I65" s="8">
        <v>23</v>
      </c>
      <c r="J65" s="8">
        <v>19</v>
      </c>
      <c r="K65" s="4" t="s">
        <v>499</v>
      </c>
      <c r="L65" s="4" t="s">
        <v>500</v>
      </c>
      <c r="M65" s="4" t="s">
        <v>501</v>
      </c>
      <c r="N65" s="9">
        <v>0.90800000000000003</v>
      </c>
      <c r="O65" s="9">
        <v>0.85699999999999998</v>
      </c>
      <c r="P65" s="4" t="s">
        <v>76</v>
      </c>
      <c r="Q65" s="4" t="s">
        <v>109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42" customHeight="1">
      <c r="A66" s="4" t="s">
        <v>137</v>
      </c>
      <c r="B66" s="4" t="s">
        <v>498</v>
      </c>
      <c r="C66" s="4" t="s">
        <v>138</v>
      </c>
      <c r="D66" s="17" t="str">
        <f>IFERROR(VLOOKUP(A66,翻译清单!$A$6:$L$155,3,FALSE),"")</f>
        <v>TOKERU FUUKA TO SHIROUSAGI</v>
      </c>
      <c r="E66" s="8">
        <v>1</v>
      </c>
      <c r="F66" s="8">
        <v>80</v>
      </c>
      <c r="G66" s="8">
        <v>96</v>
      </c>
      <c r="H66" s="8">
        <v>82</v>
      </c>
      <c r="I66" s="8">
        <v>14</v>
      </c>
      <c r="J66" s="8">
        <v>11</v>
      </c>
      <c r="K66" s="4" t="s">
        <v>499</v>
      </c>
      <c r="L66" s="4" t="s">
        <v>502</v>
      </c>
      <c r="M66" s="4" t="s">
        <v>501</v>
      </c>
      <c r="N66" s="9">
        <v>0.98929999999999996</v>
      </c>
      <c r="O66" s="9">
        <v>0.27600000000000002</v>
      </c>
      <c r="P66" s="4" t="s">
        <v>357</v>
      </c>
      <c r="Q66" s="4" t="s">
        <v>109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42" customHeight="1">
      <c r="A67" s="4" t="s">
        <v>140</v>
      </c>
      <c r="B67" s="4" t="s">
        <v>498</v>
      </c>
      <c r="C67" s="4" t="s">
        <v>141</v>
      </c>
      <c r="D67" s="17" t="str">
        <f>IFERROR(VLOOKUP(A67,翻译清单!$A$6:$L$155,3,FALSE),"")</f>
        <v>无数据</v>
      </c>
      <c r="E67" s="8">
        <v>1</v>
      </c>
      <c r="F67" s="8">
        <v>80</v>
      </c>
      <c r="G67" s="8">
        <v>96</v>
      </c>
      <c r="H67" s="8">
        <v>82</v>
      </c>
      <c r="I67" s="8">
        <v>14</v>
      </c>
      <c r="J67" s="8">
        <v>11</v>
      </c>
      <c r="K67" s="4" t="s">
        <v>499</v>
      </c>
      <c r="L67" s="4" t="s">
        <v>502</v>
      </c>
      <c r="M67" s="4" t="s">
        <v>501</v>
      </c>
      <c r="N67" s="9">
        <v>0.98929999999999996</v>
      </c>
      <c r="O67" s="9">
        <v>1</v>
      </c>
      <c r="P67" s="4" t="s">
        <v>71</v>
      </c>
      <c r="Q67" s="4" t="s">
        <v>109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42" customHeight="1">
      <c r="A68" s="4" t="s">
        <v>235</v>
      </c>
      <c r="B68" s="4" t="s">
        <v>244</v>
      </c>
      <c r="C68" s="4" t="s">
        <v>236</v>
      </c>
      <c r="D68" s="17" t="str">
        <f>IFERROR(VLOOKUP(A68,翻译清单!$A$6:$L$155,3,FALSE),"")</f>
        <v>文本速度</v>
      </c>
      <c r="E68" s="8">
        <v>1</v>
      </c>
      <c r="F68" s="8">
        <v>38</v>
      </c>
      <c r="G68" s="8">
        <v>38</v>
      </c>
      <c r="H68" s="8">
        <v>138</v>
      </c>
      <c r="I68" s="8">
        <v>24</v>
      </c>
      <c r="J68" s="8">
        <v>20</v>
      </c>
      <c r="K68" s="4" t="s">
        <v>245</v>
      </c>
      <c r="L68" s="4" t="s">
        <v>503</v>
      </c>
      <c r="M68" s="4" t="s">
        <v>246</v>
      </c>
      <c r="N68" s="9">
        <v>0.99929999999999997</v>
      </c>
      <c r="O68" s="9">
        <v>1</v>
      </c>
      <c r="P68" s="4" t="s">
        <v>71</v>
      </c>
      <c r="Q68" s="4"/>
      <c r="R68" s="1"/>
      <c r="S68" s="1"/>
      <c r="T68" s="1"/>
      <c r="U68" s="1"/>
      <c r="V68" s="1"/>
      <c r="W68" s="1"/>
      <c r="X68" s="1"/>
      <c r="Y68" s="1"/>
      <c r="Z68" s="1"/>
    </row>
    <row r="69" spans="1:26" ht="42" customHeight="1">
      <c r="A69" s="4" t="s">
        <v>240</v>
      </c>
      <c r="B69" s="4" t="s">
        <v>244</v>
      </c>
      <c r="C69" s="4" t="s">
        <v>241</v>
      </c>
      <c r="D69" s="17" t="str">
        <f>IFERROR(VLOOKUP(A69,翻译清单!$A$6:$L$155,3,FALSE),"")</f>
        <v>自动播放速度</v>
      </c>
      <c r="E69" s="8">
        <v>1</v>
      </c>
      <c r="F69" s="8">
        <v>39</v>
      </c>
      <c r="G69" s="8">
        <v>78</v>
      </c>
      <c r="H69" s="8">
        <v>154</v>
      </c>
      <c r="I69" s="8">
        <v>23</v>
      </c>
      <c r="J69" s="8">
        <v>19</v>
      </c>
      <c r="K69" s="4" t="s">
        <v>245</v>
      </c>
      <c r="L69" s="4" t="s">
        <v>504</v>
      </c>
      <c r="M69" s="4" t="s">
        <v>246</v>
      </c>
      <c r="N69" s="9">
        <v>0.99970000000000003</v>
      </c>
      <c r="O69" s="9">
        <v>1</v>
      </c>
      <c r="P69" s="4" t="s">
        <v>71</v>
      </c>
      <c r="Q69" s="4"/>
      <c r="R69" s="1"/>
      <c r="S69" s="1"/>
      <c r="T69" s="1"/>
      <c r="U69" s="1"/>
      <c r="V69" s="1"/>
      <c r="W69" s="1"/>
      <c r="X69" s="1"/>
      <c r="Y69" s="1"/>
      <c r="Z69" s="1"/>
    </row>
    <row r="70" spans="1:26" ht="42" customHeight="1">
      <c r="A70" s="4" t="s">
        <v>242</v>
      </c>
      <c r="B70" s="4" t="s">
        <v>244</v>
      </c>
      <c r="C70" s="4" t="s">
        <v>243</v>
      </c>
      <c r="D70" s="17" t="str">
        <f>IFERROR(VLOOKUP(A70,翻译清单!$A$6:$L$155,3,FALSE),"")</f>
        <v>窗口不透明度</v>
      </c>
      <c r="E70" s="8">
        <v>1</v>
      </c>
      <c r="F70" s="8">
        <v>38</v>
      </c>
      <c r="G70" s="8">
        <v>119</v>
      </c>
      <c r="H70" s="8">
        <v>155</v>
      </c>
      <c r="I70" s="8">
        <v>22</v>
      </c>
      <c r="J70" s="8">
        <v>18</v>
      </c>
      <c r="K70" s="4" t="s">
        <v>245</v>
      </c>
      <c r="L70" s="4" t="s">
        <v>505</v>
      </c>
      <c r="M70" s="4" t="s">
        <v>246</v>
      </c>
      <c r="N70" s="9">
        <v>0.99909999999999999</v>
      </c>
      <c r="O70" s="9">
        <v>0.88900000000000001</v>
      </c>
      <c r="P70" s="4" t="s">
        <v>71</v>
      </c>
      <c r="Q70" s="4"/>
      <c r="R70" s="1"/>
      <c r="S70" s="1"/>
      <c r="T70" s="1"/>
      <c r="U70" s="1"/>
      <c r="V70" s="1"/>
      <c r="W70" s="1"/>
      <c r="X70" s="1"/>
      <c r="Y70" s="1"/>
      <c r="Z70" s="1"/>
    </row>
    <row r="71" spans="1:26" ht="42" customHeight="1">
      <c r="A71" s="4" t="s">
        <v>247</v>
      </c>
      <c r="B71" s="4" t="s">
        <v>244</v>
      </c>
      <c r="C71" s="4" t="s">
        <v>248</v>
      </c>
      <c r="D71" s="17" t="str">
        <f>IFERROR(VLOOKUP(A71,翻译清单!$A$6:$L$155,3,FALSE),"")</f>
        <v>跳过未读文本</v>
      </c>
      <c r="E71" s="8">
        <v>1</v>
      </c>
      <c r="F71" s="8">
        <v>37</v>
      </c>
      <c r="G71" s="8">
        <v>159</v>
      </c>
      <c r="H71" s="8">
        <v>119</v>
      </c>
      <c r="I71" s="8">
        <v>23</v>
      </c>
      <c r="J71" s="8">
        <v>19</v>
      </c>
      <c r="K71" s="4" t="s">
        <v>245</v>
      </c>
      <c r="L71" s="4" t="s">
        <v>506</v>
      </c>
      <c r="M71" s="4" t="s">
        <v>246</v>
      </c>
      <c r="N71" s="9">
        <v>0.99870000000000003</v>
      </c>
      <c r="O71" s="9">
        <v>1</v>
      </c>
      <c r="P71" s="4" t="s">
        <v>71</v>
      </c>
      <c r="Q71" s="4"/>
      <c r="R71" s="1"/>
      <c r="S71" s="1"/>
      <c r="T71" s="1"/>
      <c r="U71" s="1"/>
      <c r="V71" s="1"/>
      <c r="W71" s="1"/>
      <c r="X71" s="1"/>
      <c r="Y71" s="1"/>
      <c r="Z71" s="1"/>
    </row>
    <row r="72" spans="1:26" ht="42" customHeight="1">
      <c r="A72" s="4" t="s">
        <v>249</v>
      </c>
      <c r="B72" s="4" t="s">
        <v>507</v>
      </c>
      <c r="C72" s="4" t="s">
        <v>250</v>
      </c>
      <c r="D72" s="17" t="str">
        <f>IFERROR(VLOOKUP(A72,翻译清单!$A$6:$L$155,3,FALSE),"")</f>
        <v>仅已读</v>
      </c>
      <c r="E72" s="8">
        <v>5</v>
      </c>
      <c r="F72" s="8">
        <v>25</v>
      </c>
      <c r="G72" s="8">
        <v>0</v>
      </c>
      <c r="H72" s="8">
        <v>85</v>
      </c>
      <c r="I72" s="8">
        <v>24</v>
      </c>
      <c r="J72" s="8">
        <v>20</v>
      </c>
      <c r="K72" s="4" t="s">
        <v>508</v>
      </c>
      <c r="L72" s="4" t="s">
        <v>474</v>
      </c>
      <c r="M72" s="4" t="s">
        <v>509</v>
      </c>
      <c r="N72" s="9">
        <v>0.99970000000000003</v>
      </c>
      <c r="O72" s="9">
        <v>1</v>
      </c>
      <c r="P72" s="4" t="s">
        <v>71</v>
      </c>
      <c r="Q72" s="4"/>
      <c r="R72" s="1"/>
      <c r="S72" s="1"/>
      <c r="T72" s="1"/>
      <c r="U72" s="1"/>
      <c r="V72" s="1"/>
      <c r="W72" s="1"/>
      <c r="X72" s="1"/>
      <c r="Y72" s="1"/>
      <c r="Z72" s="1"/>
    </row>
    <row r="73" spans="1:26" ht="42" customHeight="1">
      <c r="A73" s="4" t="s">
        <v>254</v>
      </c>
      <c r="B73" s="4" t="s">
        <v>507</v>
      </c>
      <c r="C73" s="4" t="s">
        <v>255</v>
      </c>
      <c r="D73" s="17" t="str">
        <f>IFERROR(VLOOKUP(A73,翻译清单!$A$6:$L$155,3,FALSE),"")</f>
        <v>全部文本</v>
      </c>
      <c r="E73" s="8">
        <v>2</v>
      </c>
      <c r="F73" s="8">
        <v>21</v>
      </c>
      <c r="G73" s="8">
        <v>60</v>
      </c>
      <c r="H73" s="8">
        <v>49</v>
      </c>
      <c r="I73" s="8">
        <v>30</v>
      </c>
      <c r="J73" s="8">
        <v>25</v>
      </c>
      <c r="K73" s="4" t="s">
        <v>508</v>
      </c>
      <c r="L73" s="4" t="s">
        <v>510</v>
      </c>
      <c r="M73" s="4" t="s">
        <v>509</v>
      </c>
      <c r="N73" s="9">
        <v>0.99950000000000006</v>
      </c>
      <c r="O73" s="9">
        <v>1</v>
      </c>
      <c r="P73" s="4" t="s">
        <v>71</v>
      </c>
      <c r="Q73" s="4"/>
      <c r="R73" s="1"/>
      <c r="S73" s="1"/>
      <c r="T73" s="1"/>
      <c r="U73" s="1"/>
      <c r="V73" s="1"/>
      <c r="W73" s="1"/>
      <c r="X73" s="1"/>
      <c r="Y73" s="1"/>
      <c r="Z73" s="1"/>
    </row>
    <row r="74" spans="1:26" ht="42" customHeight="1">
      <c r="A74" s="4" t="s">
        <v>256</v>
      </c>
      <c r="B74" s="4" t="s">
        <v>264</v>
      </c>
      <c r="C74" s="4" t="s">
        <v>257</v>
      </c>
      <c r="D74" s="17" t="str">
        <f>IFERROR(VLOOKUP(A74,翻译清单!$A$6:$L$155,3,FALSE),"")</f>
        <v>主音量</v>
      </c>
      <c r="E74" s="8">
        <v>1</v>
      </c>
      <c r="F74" s="8">
        <v>37</v>
      </c>
      <c r="G74" s="8">
        <v>39</v>
      </c>
      <c r="H74" s="8">
        <v>79</v>
      </c>
      <c r="I74" s="8">
        <v>23</v>
      </c>
      <c r="J74" s="8">
        <v>19</v>
      </c>
      <c r="K74" s="4" t="s">
        <v>245</v>
      </c>
      <c r="L74" s="4" t="s">
        <v>511</v>
      </c>
      <c r="M74" s="4" t="s">
        <v>246</v>
      </c>
      <c r="N74" s="9">
        <v>0.99970000000000003</v>
      </c>
      <c r="O74" s="9">
        <v>1</v>
      </c>
      <c r="P74" s="4" t="s">
        <v>71</v>
      </c>
      <c r="Q74" s="4"/>
      <c r="R74" s="1"/>
      <c r="S74" s="1"/>
      <c r="T74" s="1"/>
      <c r="U74" s="1"/>
      <c r="V74" s="1"/>
      <c r="W74" s="1"/>
      <c r="X74" s="1"/>
      <c r="Y74" s="1"/>
      <c r="Z74" s="1"/>
    </row>
    <row r="75" spans="1:26" ht="42" customHeight="1">
      <c r="A75" s="4" t="s">
        <v>260</v>
      </c>
      <c r="B75" s="4" t="s">
        <v>264</v>
      </c>
      <c r="C75" s="4" t="s">
        <v>261</v>
      </c>
      <c r="D75" s="17" t="str">
        <f>IFERROR(VLOOKUP(A75,翻译清单!$A$6:$L$155,3,FALSE),"")</f>
        <v>BGM</v>
      </c>
      <c r="E75" s="8">
        <v>1</v>
      </c>
      <c r="F75" s="8">
        <v>36</v>
      </c>
      <c r="G75" s="8">
        <v>80</v>
      </c>
      <c r="H75" s="8">
        <v>49</v>
      </c>
      <c r="I75" s="8">
        <v>19</v>
      </c>
      <c r="J75" s="8">
        <v>16</v>
      </c>
      <c r="K75" s="4" t="s">
        <v>245</v>
      </c>
      <c r="L75" s="4" t="s">
        <v>511</v>
      </c>
      <c r="M75" s="4" t="s">
        <v>246</v>
      </c>
      <c r="N75" s="9">
        <v>0.99990000000000001</v>
      </c>
      <c r="O75" s="9">
        <v>1</v>
      </c>
      <c r="P75" s="4" t="s">
        <v>71</v>
      </c>
      <c r="Q75" s="4"/>
      <c r="R75" s="1"/>
      <c r="S75" s="1"/>
      <c r="T75" s="1"/>
      <c r="U75" s="1"/>
      <c r="V75" s="1"/>
      <c r="W75" s="1"/>
      <c r="X75" s="1"/>
      <c r="Y75" s="1"/>
      <c r="Z75" s="1"/>
    </row>
    <row r="76" spans="1:26" ht="42" customHeight="1">
      <c r="A76" s="4" t="s">
        <v>262</v>
      </c>
      <c r="B76" s="4" t="s">
        <v>264</v>
      </c>
      <c r="C76" s="4" t="s">
        <v>263</v>
      </c>
      <c r="D76" s="17" t="str">
        <f>IFERROR(VLOOKUP(A76,翻译清单!$A$6:$L$155,3,FALSE),"")</f>
        <v>语音</v>
      </c>
      <c r="E76" s="8">
        <v>1</v>
      </c>
      <c r="F76" s="8">
        <v>37</v>
      </c>
      <c r="G76" s="8">
        <v>120</v>
      </c>
      <c r="H76" s="8">
        <v>68</v>
      </c>
      <c r="I76" s="8">
        <v>21</v>
      </c>
      <c r="J76" s="8">
        <v>17</v>
      </c>
      <c r="K76" s="4" t="s">
        <v>245</v>
      </c>
      <c r="L76" s="4" t="s">
        <v>512</v>
      </c>
      <c r="M76" s="4" t="s">
        <v>246</v>
      </c>
      <c r="N76" s="9">
        <v>0.99980000000000002</v>
      </c>
      <c r="O76" s="9">
        <v>1</v>
      </c>
      <c r="P76" s="4" t="s">
        <v>71</v>
      </c>
      <c r="Q76" s="4"/>
      <c r="R76" s="1"/>
      <c r="S76" s="1"/>
      <c r="T76" s="1"/>
      <c r="U76" s="1"/>
      <c r="V76" s="1"/>
      <c r="W76" s="1"/>
      <c r="X76" s="1"/>
      <c r="Y76" s="1"/>
      <c r="Z76" s="1"/>
    </row>
    <row r="77" spans="1:26" ht="42" customHeight="1">
      <c r="A77" s="4" t="s">
        <v>265</v>
      </c>
      <c r="B77" s="4" t="s">
        <v>264</v>
      </c>
      <c r="C77" s="4" t="s">
        <v>266</v>
      </c>
      <c r="D77" s="17" t="str">
        <f>IFERROR(VLOOKUP(A77,翻译清单!$A$6:$L$155,3,FALSE),"")</f>
        <v>SE（游戏音效）</v>
      </c>
      <c r="E77" s="8">
        <v>1</v>
      </c>
      <c r="F77" s="8">
        <v>36</v>
      </c>
      <c r="G77" s="8">
        <v>160</v>
      </c>
      <c r="H77" s="8">
        <v>122</v>
      </c>
      <c r="I77" s="8">
        <v>22</v>
      </c>
      <c r="J77" s="8">
        <v>18</v>
      </c>
      <c r="K77" s="4" t="s">
        <v>245</v>
      </c>
      <c r="L77" s="4" t="s">
        <v>513</v>
      </c>
      <c r="M77" s="4" t="s">
        <v>246</v>
      </c>
      <c r="N77" s="9">
        <v>0.99019999999999997</v>
      </c>
      <c r="O77" s="9">
        <v>1</v>
      </c>
      <c r="P77" s="4" t="s">
        <v>71</v>
      </c>
      <c r="Q77" s="4"/>
      <c r="R77" s="1"/>
      <c r="S77" s="1"/>
      <c r="T77" s="1"/>
      <c r="U77" s="1"/>
      <c r="V77" s="1"/>
      <c r="W77" s="1"/>
      <c r="X77" s="1"/>
      <c r="Y77" s="1"/>
      <c r="Z77" s="1"/>
    </row>
    <row r="78" spans="1:26" ht="42" customHeight="1">
      <c r="A78" s="4" t="s">
        <v>267</v>
      </c>
      <c r="B78" s="4" t="s">
        <v>269</v>
      </c>
      <c r="C78" s="4" t="s">
        <v>268</v>
      </c>
      <c r="D78" s="17" t="str">
        <f>IFERROR(VLOOKUP(A78,翻译清单!$A$6:$L$155,3,FALSE),"")</f>
        <v>画面尺寸</v>
      </c>
      <c r="E78" s="8">
        <v>1</v>
      </c>
      <c r="F78" s="8">
        <v>447</v>
      </c>
      <c r="G78" s="8">
        <v>501</v>
      </c>
      <c r="H78" s="8">
        <v>171</v>
      </c>
      <c r="I78" s="8">
        <v>35</v>
      </c>
      <c r="J78" s="8">
        <v>29</v>
      </c>
      <c r="K78" s="4" t="s">
        <v>216</v>
      </c>
      <c r="L78" s="4" t="s">
        <v>472</v>
      </c>
      <c r="M78" s="4" t="s">
        <v>270</v>
      </c>
      <c r="N78" s="9">
        <v>0.999</v>
      </c>
      <c r="O78" s="9">
        <v>1</v>
      </c>
      <c r="P78" s="4" t="s">
        <v>71</v>
      </c>
      <c r="Q78" s="4"/>
      <c r="R78" s="1"/>
      <c r="S78" s="1"/>
      <c r="T78" s="1"/>
      <c r="U78" s="1"/>
      <c r="V78" s="1"/>
      <c r="W78" s="1"/>
      <c r="X78" s="1"/>
      <c r="Y78" s="1"/>
      <c r="Z78" s="1"/>
    </row>
    <row r="79" spans="1:26" ht="42" customHeight="1">
      <c r="A79" s="4" t="s">
        <v>271</v>
      </c>
      <c r="B79" s="4" t="s">
        <v>269</v>
      </c>
      <c r="C79" s="4" t="s">
        <v>272</v>
      </c>
      <c r="D79" s="17" t="str">
        <f>IFERROR(VLOOKUP(A79,翻译清单!$A$6:$L$155,3,FALSE),"")</f>
        <v>画面分辨率</v>
      </c>
      <c r="E79" s="8">
        <v>1</v>
      </c>
      <c r="F79" s="8">
        <v>288</v>
      </c>
      <c r="G79" s="8">
        <v>419</v>
      </c>
      <c r="H79" s="8">
        <v>328</v>
      </c>
      <c r="I79" s="8">
        <v>34</v>
      </c>
      <c r="J79" s="8">
        <v>28</v>
      </c>
      <c r="K79" s="4" t="s">
        <v>216</v>
      </c>
      <c r="L79" s="4" t="s">
        <v>514</v>
      </c>
      <c r="M79" s="4" t="s">
        <v>270</v>
      </c>
      <c r="N79" s="9">
        <v>0.99970000000000003</v>
      </c>
      <c r="O79" s="9">
        <v>0.82499999999999996</v>
      </c>
      <c r="P79" s="4" t="s">
        <v>71</v>
      </c>
      <c r="Q79" s="4"/>
      <c r="R79" s="1"/>
      <c r="S79" s="1"/>
      <c r="T79" s="1"/>
      <c r="U79" s="1"/>
      <c r="V79" s="1"/>
      <c r="W79" s="1"/>
      <c r="X79" s="1"/>
      <c r="Y79" s="1"/>
      <c r="Z79" s="1"/>
    </row>
    <row r="80" spans="1:26" ht="42" customHeight="1">
      <c r="A80" s="4" t="s">
        <v>273</v>
      </c>
      <c r="B80" s="4" t="s">
        <v>269</v>
      </c>
      <c r="C80" s="4" t="s">
        <v>274</v>
      </c>
      <c r="D80" s="17" t="str">
        <f>IFERROR(VLOOKUP(A80,翻译清单!$A$6:$L$155,3,FALSE),"")</f>
        <v>画面切换速度</v>
      </c>
      <c r="E80" s="8">
        <v>1</v>
      </c>
      <c r="F80" s="8">
        <v>7</v>
      </c>
      <c r="G80" s="8">
        <v>207</v>
      </c>
      <c r="H80" s="8">
        <v>527</v>
      </c>
      <c r="I80" s="8">
        <v>41</v>
      </c>
      <c r="J80" s="8">
        <v>34</v>
      </c>
      <c r="K80" s="4" t="s">
        <v>216</v>
      </c>
      <c r="L80" s="4" t="s">
        <v>515</v>
      </c>
      <c r="M80" s="4" t="s">
        <v>270</v>
      </c>
      <c r="N80" s="9">
        <v>0.97609999999999997</v>
      </c>
      <c r="O80" s="9">
        <v>0.78300000000000003</v>
      </c>
      <c r="P80" s="4" t="s">
        <v>76</v>
      </c>
      <c r="Q80" s="4"/>
      <c r="R80" s="1"/>
      <c r="S80" s="1"/>
      <c r="T80" s="1"/>
      <c r="U80" s="1"/>
      <c r="V80" s="1"/>
      <c r="W80" s="1"/>
      <c r="X80" s="1"/>
      <c r="Y80" s="1"/>
      <c r="Z80" s="1"/>
    </row>
    <row r="81" spans="1:26" ht="42" customHeight="1">
      <c r="A81" s="4" t="s">
        <v>275</v>
      </c>
      <c r="B81" s="4" t="s">
        <v>269</v>
      </c>
      <c r="C81" s="4" t="s">
        <v>276</v>
      </c>
      <c r="D81" s="17" t="str">
        <f>IFERROR(VLOOKUP(A81,翻译清单!$A$6:$L$155,3,FALSE),"")</f>
        <v>始终将画面显示在最前</v>
      </c>
      <c r="E81" s="8">
        <v>1</v>
      </c>
      <c r="F81" s="8">
        <v>0</v>
      </c>
      <c r="G81" s="8">
        <v>119</v>
      </c>
      <c r="H81" s="8">
        <v>549</v>
      </c>
      <c r="I81" s="8">
        <v>41</v>
      </c>
      <c r="J81" s="8">
        <v>34</v>
      </c>
      <c r="K81" s="4" t="s">
        <v>216</v>
      </c>
      <c r="L81" s="4" t="s">
        <v>516</v>
      </c>
      <c r="M81" s="4" t="s">
        <v>270</v>
      </c>
      <c r="N81" s="9">
        <v>0.9657</v>
      </c>
      <c r="O81" s="9">
        <v>0.84399999999999997</v>
      </c>
      <c r="P81" s="4" t="s">
        <v>71</v>
      </c>
      <c r="Q81" s="4"/>
      <c r="R81" s="1"/>
      <c r="S81" s="1"/>
      <c r="T81" s="1"/>
      <c r="U81" s="1"/>
      <c r="V81" s="1"/>
      <c r="W81" s="1"/>
      <c r="X81" s="1"/>
      <c r="Y81" s="1"/>
      <c r="Z81" s="1"/>
    </row>
    <row r="82" spans="1:26" ht="42" customHeight="1">
      <c r="A82" s="4" t="s">
        <v>277</v>
      </c>
      <c r="B82" s="4" t="s">
        <v>269</v>
      </c>
      <c r="C82" s="4" t="s">
        <v>278</v>
      </c>
      <c r="D82" s="17" t="str">
        <f>IFERROR(VLOOKUP(A82,翻译清单!$A$6:$L$155,3,FALSE),"")</f>
        <v>系统菜单弹出</v>
      </c>
      <c r="E82" s="8">
        <v>1</v>
      </c>
      <c r="F82" s="8">
        <v>5</v>
      </c>
      <c r="G82" s="8">
        <v>2</v>
      </c>
      <c r="H82" s="8">
        <v>480</v>
      </c>
      <c r="I82" s="8">
        <v>29</v>
      </c>
      <c r="J82" s="8">
        <v>24</v>
      </c>
      <c r="K82" s="4" t="s">
        <v>216</v>
      </c>
      <c r="L82" s="4" t="s">
        <v>468</v>
      </c>
      <c r="M82" s="4" t="s">
        <v>270</v>
      </c>
      <c r="N82" s="9">
        <v>0.98260000000000003</v>
      </c>
      <c r="O82" s="9">
        <v>0.97699999999999998</v>
      </c>
      <c r="P82" s="4" t="s">
        <v>71</v>
      </c>
      <c r="Q82" s="4"/>
      <c r="R82" s="1"/>
      <c r="S82" s="1"/>
      <c r="T82" s="1"/>
      <c r="U82" s="1"/>
      <c r="V82" s="1"/>
      <c r="W82" s="1"/>
      <c r="X82" s="1"/>
      <c r="Y82" s="1"/>
      <c r="Z82" s="1"/>
    </row>
    <row r="83" spans="1:26" ht="42" customHeight="1">
      <c r="A83" s="4" t="s">
        <v>103</v>
      </c>
      <c r="B83" s="4" t="s">
        <v>269</v>
      </c>
      <c r="C83" s="4" t="s">
        <v>104</v>
      </c>
      <c r="D83" s="17" t="str">
        <f>IFERROR(VLOOKUP(A83,翻译清单!$A$6:$L$155,3,FALSE),"")</f>
        <v>暂停功能</v>
      </c>
      <c r="E83" s="8">
        <v>1</v>
      </c>
      <c r="F83" s="8">
        <v>25</v>
      </c>
      <c r="G83" s="8">
        <v>371</v>
      </c>
      <c r="H83" s="8">
        <v>31</v>
      </c>
      <c r="I83" s="8">
        <v>34</v>
      </c>
      <c r="J83" s="8">
        <v>28</v>
      </c>
      <c r="K83" s="4" t="s">
        <v>216</v>
      </c>
      <c r="L83" s="4" t="s">
        <v>472</v>
      </c>
      <c r="M83" s="4" t="s">
        <v>270</v>
      </c>
      <c r="N83" s="9">
        <v>0.99939999999999996</v>
      </c>
      <c r="O83" s="9">
        <v>0.7</v>
      </c>
      <c r="P83" s="4" t="s">
        <v>76</v>
      </c>
      <c r="Q83" s="4" t="s">
        <v>109</v>
      </c>
      <c r="R83" s="1"/>
      <c r="S83" s="1"/>
      <c r="T83" s="1"/>
      <c r="U83" s="1"/>
      <c r="V83" s="1"/>
      <c r="W83" s="1"/>
      <c r="X83" s="1"/>
      <c r="Y83" s="1"/>
      <c r="Z83" s="1"/>
    </row>
    <row r="84" spans="1:26" ht="42" customHeight="1">
      <c r="A84" s="4" t="s">
        <v>279</v>
      </c>
      <c r="B84" s="4" t="s">
        <v>269</v>
      </c>
      <c r="C84" s="4" t="s">
        <v>280</v>
      </c>
      <c r="D84" s="17" t="str">
        <f>IFERROR(VLOOKUP(A84,翻译清单!$A$6:$L$155,3,FALSE),"")</f>
        <v>鼠标设置</v>
      </c>
      <c r="E84" s="8">
        <v>1</v>
      </c>
      <c r="F84" s="8">
        <v>1</v>
      </c>
      <c r="G84" s="8">
        <v>369</v>
      </c>
      <c r="H84" s="8">
        <v>25</v>
      </c>
      <c r="I84" s="8">
        <v>31</v>
      </c>
      <c r="J84" s="8">
        <v>25</v>
      </c>
      <c r="K84" s="4" t="s">
        <v>216</v>
      </c>
      <c r="L84" s="4" t="s">
        <v>517</v>
      </c>
      <c r="M84" s="4" t="s">
        <v>270</v>
      </c>
      <c r="N84" s="9">
        <v>0.99639999999999995</v>
      </c>
      <c r="O84" s="9">
        <v>0.70799999999999996</v>
      </c>
      <c r="P84" s="4" t="s">
        <v>76</v>
      </c>
      <c r="Q84" s="4"/>
      <c r="R84" s="1"/>
      <c r="S84" s="1"/>
      <c r="T84" s="1"/>
      <c r="U84" s="1"/>
      <c r="V84" s="1"/>
      <c r="W84" s="1"/>
      <c r="X84" s="1"/>
      <c r="Y84" s="1"/>
      <c r="Z84" s="1"/>
    </row>
    <row r="85" spans="1:26" ht="42" customHeight="1">
      <c r="A85" s="4" t="s">
        <v>281</v>
      </c>
      <c r="B85" s="4" t="s">
        <v>269</v>
      </c>
      <c r="C85" s="4" t="s">
        <v>282</v>
      </c>
      <c r="D85" s="17" t="str">
        <f>IFERROR(VLOOKUP(A85,翻译清单!$A$6:$L$155,3,FALSE),"")</f>
        <v>截图保存设置</v>
      </c>
      <c r="E85" s="8">
        <v>1</v>
      </c>
      <c r="F85" s="8">
        <v>1</v>
      </c>
      <c r="G85" s="8">
        <v>369</v>
      </c>
      <c r="H85" s="8">
        <v>25</v>
      </c>
      <c r="I85" s="8">
        <v>31</v>
      </c>
      <c r="J85" s="8">
        <v>25</v>
      </c>
      <c r="K85" s="4" t="s">
        <v>216</v>
      </c>
      <c r="L85" s="4" t="s">
        <v>517</v>
      </c>
      <c r="M85" s="4" t="s">
        <v>270</v>
      </c>
      <c r="N85" s="9">
        <v>0.99639999999999995</v>
      </c>
      <c r="O85" s="9">
        <v>0.67700000000000005</v>
      </c>
      <c r="P85" s="4" t="s">
        <v>76</v>
      </c>
      <c r="Q85" s="4"/>
      <c r="R85" s="1"/>
      <c r="S85" s="1"/>
      <c r="T85" s="1"/>
      <c r="U85" s="1"/>
      <c r="V85" s="1"/>
      <c r="W85" s="1"/>
      <c r="X85" s="1"/>
      <c r="Y85" s="1"/>
      <c r="Z85" s="1"/>
    </row>
    <row r="86" spans="1:26" ht="42" customHeight="1">
      <c r="A86" s="4" t="s">
        <v>283</v>
      </c>
      <c r="B86" s="4" t="s">
        <v>269</v>
      </c>
      <c r="C86" s="4" t="s">
        <v>284</v>
      </c>
      <c r="D86" s="17" t="str">
        <f>IFERROR(VLOOKUP(A86,翻译清单!$A$6:$L$155,3,FALSE),"")</f>
        <v>以日期时间文件名保存</v>
      </c>
      <c r="E86" s="8">
        <v>2</v>
      </c>
      <c r="F86" s="8">
        <v>53</v>
      </c>
      <c r="G86" s="8">
        <v>97</v>
      </c>
      <c r="H86" s="8">
        <v>291</v>
      </c>
      <c r="I86" s="8">
        <v>30</v>
      </c>
      <c r="J86" s="8">
        <v>25</v>
      </c>
      <c r="K86" s="4" t="s">
        <v>216</v>
      </c>
      <c r="L86" s="4" t="s">
        <v>518</v>
      </c>
      <c r="M86" s="4" t="s">
        <v>270</v>
      </c>
      <c r="N86" s="9">
        <v>0.99439999999999995</v>
      </c>
      <c r="O86" s="9">
        <v>1</v>
      </c>
      <c r="P86" s="4" t="s">
        <v>71</v>
      </c>
      <c r="Q86" s="4"/>
      <c r="R86" s="1"/>
      <c r="S86" s="1"/>
      <c r="T86" s="1"/>
      <c r="U86" s="1"/>
      <c r="V86" s="1"/>
      <c r="W86" s="1"/>
      <c r="X86" s="1"/>
      <c r="Y86" s="1"/>
      <c r="Z86" s="1"/>
    </row>
    <row r="87" spans="1:26" ht="42" customHeight="1">
      <c r="A87" s="4" t="s">
        <v>285</v>
      </c>
      <c r="B87" s="4" t="s">
        <v>269</v>
      </c>
      <c r="C87" s="4" t="s">
        <v>286</v>
      </c>
      <c r="D87" s="17" t="str">
        <f>IFERROR(VLOOKUP(A87,翻译清单!$A$6:$L$155,3,FALSE),"")</f>
        <v>指定文件名</v>
      </c>
      <c r="E87" s="8">
        <v>3</v>
      </c>
      <c r="F87" s="8">
        <v>327</v>
      </c>
      <c r="G87" s="8">
        <v>159</v>
      </c>
      <c r="H87" s="8">
        <v>247</v>
      </c>
      <c r="I87" s="8">
        <v>31</v>
      </c>
      <c r="J87" s="8">
        <v>25</v>
      </c>
      <c r="K87" s="4" t="s">
        <v>216</v>
      </c>
      <c r="L87" s="4" t="s">
        <v>475</v>
      </c>
      <c r="M87" s="4" t="s">
        <v>270</v>
      </c>
      <c r="N87" s="9">
        <v>0.99680000000000002</v>
      </c>
      <c r="O87" s="9">
        <v>1</v>
      </c>
      <c r="P87" s="4" t="s">
        <v>71</v>
      </c>
      <c r="Q87" s="4"/>
      <c r="R87" s="1"/>
      <c r="S87" s="1"/>
      <c r="T87" s="1"/>
      <c r="U87" s="1"/>
      <c r="V87" s="1"/>
      <c r="W87" s="1"/>
      <c r="X87" s="1"/>
      <c r="Y87" s="1"/>
      <c r="Z87" s="1"/>
    </row>
    <row r="88" spans="1:26" ht="42" customHeight="1">
      <c r="A88" s="4" t="s">
        <v>287</v>
      </c>
      <c r="B88" s="4" t="s">
        <v>269</v>
      </c>
      <c r="C88" s="4" t="s">
        <v>288</v>
      </c>
      <c r="D88" s="17" t="str">
        <f>IFERROR(VLOOKUP(A88,翻译清单!$A$6:$L$155,3,FALSE),"")</f>
        <v>全屏</v>
      </c>
      <c r="E88" s="8">
        <v>4</v>
      </c>
      <c r="F88" s="8">
        <v>53</v>
      </c>
      <c r="G88" s="8">
        <v>279</v>
      </c>
      <c r="H88" s="8">
        <v>236</v>
      </c>
      <c r="I88" s="8">
        <v>32</v>
      </c>
      <c r="J88" s="8">
        <v>26</v>
      </c>
      <c r="K88" s="4" t="s">
        <v>216</v>
      </c>
      <c r="L88" s="4" t="s">
        <v>519</v>
      </c>
      <c r="M88" s="4" t="s">
        <v>270</v>
      </c>
      <c r="N88" s="9">
        <v>0.99970000000000003</v>
      </c>
      <c r="O88" s="9">
        <v>1</v>
      </c>
      <c r="P88" s="4" t="s">
        <v>71</v>
      </c>
      <c r="Q88" s="4"/>
      <c r="R88" s="1"/>
      <c r="S88" s="1"/>
      <c r="T88" s="1"/>
      <c r="U88" s="1"/>
      <c r="V88" s="1"/>
      <c r="W88" s="1"/>
      <c r="X88" s="1"/>
      <c r="Y88" s="1"/>
      <c r="Z88" s="1"/>
    </row>
    <row r="89" spans="1:26" ht="42" customHeight="1">
      <c r="A89" s="4" t="s">
        <v>289</v>
      </c>
      <c r="B89" s="4" t="s">
        <v>269</v>
      </c>
      <c r="C89" s="4" t="s">
        <v>290</v>
      </c>
      <c r="D89" s="17" t="str">
        <f>IFERROR(VLOOKUP(A89,翻译清单!$A$6:$L$155,3,FALSE),"")</f>
        <v>窗口</v>
      </c>
      <c r="E89" s="8">
        <v>1</v>
      </c>
      <c r="F89" s="8">
        <v>493</v>
      </c>
      <c r="G89" s="8">
        <v>477</v>
      </c>
      <c r="H89" s="8">
        <v>145</v>
      </c>
      <c r="I89" s="8">
        <v>28</v>
      </c>
      <c r="J89" s="8">
        <v>23</v>
      </c>
      <c r="K89" s="4" t="s">
        <v>216</v>
      </c>
      <c r="L89" s="4" t="s">
        <v>474</v>
      </c>
      <c r="M89" s="4" t="s">
        <v>270</v>
      </c>
      <c r="N89" s="9">
        <v>0.90369999999999995</v>
      </c>
      <c r="O89" s="9">
        <v>0.8</v>
      </c>
      <c r="P89" s="4" t="s">
        <v>76</v>
      </c>
      <c r="Q89" s="4"/>
      <c r="R89" s="1"/>
      <c r="S89" s="1"/>
      <c r="T89" s="1"/>
      <c r="U89" s="1"/>
      <c r="V89" s="1"/>
      <c r="W89" s="1"/>
      <c r="X89" s="1"/>
      <c r="Y89" s="1"/>
      <c r="Z89" s="1"/>
    </row>
    <row r="90" spans="1:26" ht="42" customHeight="1">
      <c r="A90" s="4" t="s">
        <v>291</v>
      </c>
      <c r="B90" s="4" t="s">
        <v>269</v>
      </c>
      <c r="C90" s="4" t="s">
        <v>292</v>
      </c>
      <c r="D90" s="17" t="str">
        <f>IFERROR(VLOOKUP(A90,翻译清单!$A$6:$L$155,3,FALSE),"")</f>
        <v>1024×576</v>
      </c>
      <c r="E90" s="8">
        <v>3</v>
      </c>
      <c r="F90" s="8">
        <v>303</v>
      </c>
      <c r="G90" s="8">
        <v>282</v>
      </c>
      <c r="H90" s="8">
        <v>170</v>
      </c>
      <c r="I90" s="8">
        <v>27</v>
      </c>
      <c r="J90" s="8">
        <v>22</v>
      </c>
      <c r="K90" s="4" t="s">
        <v>216</v>
      </c>
      <c r="L90" s="4" t="s">
        <v>520</v>
      </c>
      <c r="M90" s="4" t="s">
        <v>270</v>
      </c>
      <c r="N90" s="9">
        <v>0.99960000000000004</v>
      </c>
      <c r="O90" s="9">
        <v>1</v>
      </c>
      <c r="P90" s="4" t="s">
        <v>71</v>
      </c>
      <c r="Q90" s="4"/>
      <c r="R90" s="1"/>
      <c r="S90" s="1"/>
      <c r="T90" s="1"/>
      <c r="U90" s="1"/>
      <c r="V90" s="1"/>
      <c r="W90" s="1"/>
      <c r="X90" s="1"/>
      <c r="Y90" s="1"/>
      <c r="Z90" s="1"/>
    </row>
    <row r="91" spans="1:26" ht="42" customHeight="1">
      <c r="A91" s="4" t="s">
        <v>294</v>
      </c>
      <c r="B91" s="4" t="s">
        <v>269</v>
      </c>
      <c r="C91" s="4" t="s">
        <v>295</v>
      </c>
      <c r="D91" s="17" t="str">
        <f>IFERROR(VLOOKUP(A91,翻译清单!$A$6:$L$155,3,FALSE),"")</f>
        <v>1280×720</v>
      </c>
      <c r="E91" s="8">
        <v>1</v>
      </c>
      <c r="F91" s="8">
        <v>0</v>
      </c>
      <c r="G91" s="8">
        <v>119</v>
      </c>
      <c r="H91" s="8">
        <v>549</v>
      </c>
      <c r="I91" s="8">
        <v>41</v>
      </c>
      <c r="J91" s="8">
        <v>34</v>
      </c>
      <c r="K91" s="4" t="s">
        <v>216</v>
      </c>
      <c r="L91" s="4" t="s">
        <v>516</v>
      </c>
      <c r="M91" s="4" t="s">
        <v>270</v>
      </c>
      <c r="N91" s="9">
        <v>0.9657</v>
      </c>
      <c r="O91" s="9">
        <v>0.78600000000000003</v>
      </c>
      <c r="P91" s="4" t="s">
        <v>76</v>
      </c>
      <c r="Q91" s="4"/>
      <c r="R91" s="1"/>
      <c r="S91" s="1"/>
      <c r="T91" s="1"/>
      <c r="U91" s="1"/>
      <c r="V91" s="1"/>
      <c r="W91" s="1"/>
      <c r="X91" s="1"/>
      <c r="Y91" s="1"/>
      <c r="Z91" s="1"/>
    </row>
    <row r="92" spans="1:26" ht="42" customHeight="1">
      <c r="A92" s="4" t="s">
        <v>296</v>
      </c>
      <c r="B92" s="4" t="s">
        <v>269</v>
      </c>
      <c r="C92" s="4" t="s">
        <v>297</v>
      </c>
      <c r="D92" s="17" t="str">
        <f>IFERROR(VLOOKUP(A92,翻译清单!$A$6:$L$155,3,FALSE),"")</f>
        <v>1600×900</v>
      </c>
      <c r="E92" s="8">
        <v>2</v>
      </c>
      <c r="F92" s="8">
        <v>386</v>
      </c>
      <c r="G92" s="8">
        <v>92</v>
      </c>
      <c r="H92" s="8">
        <v>169</v>
      </c>
      <c r="I92" s="8">
        <v>25</v>
      </c>
      <c r="J92" s="8">
        <v>20</v>
      </c>
      <c r="K92" s="4" t="s">
        <v>216</v>
      </c>
      <c r="L92" s="4" t="s">
        <v>474</v>
      </c>
      <c r="M92" s="4" t="s">
        <v>270</v>
      </c>
      <c r="N92" s="9">
        <v>0.95069999999999999</v>
      </c>
      <c r="O92" s="9">
        <v>1</v>
      </c>
      <c r="P92" s="4" t="s">
        <v>71</v>
      </c>
      <c r="Q92" s="4"/>
      <c r="R92" s="1"/>
      <c r="S92" s="1"/>
      <c r="T92" s="1"/>
      <c r="U92" s="1"/>
      <c r="V92" s="1"/>
      <c r="W92" s="1"/>
      <c r="X92" s="1"/>
      <c r="Y92" s="1"/>
      <c r="Z92" s="1"/>
    </row>
    <row r="93" spans="1:26" ht="42" customHeight="1">
      <c r="A93" s="4" t="s">
        <v>298</v>
      </c>
      <c r="B93" s="4" t="s">
        <v>269</v>
      </c>
      <c r="C93" s="4" t="s">
        <v>299</v>
      </c>
      <c r="D93" s="17" t="str">
        <f>IFERROR(VLOOKUP(A93,翻译清单!$A$6:$L$155,3,FALSE),"")</f>
        <v>1920×1080</v>
      </c>
      <c r="E93" s="8">
        <v>1</v>
      </c>
      <c r="F93" s="8">
        <v>94</v>
      </c>
      <c r="G93" s="8">
        <v>390</v>
      </c>
      <c r="H93" s="8">
        <v>25</v>
      </c>
      <c r="I93" s="8">
        <v>19</v>
      </c>
      <c r="J93" s="8">
        <v>16</v>
      </c>
      <c r="K93" s="4" t="s">
        <v>216</v>
      </c>
      <c r="L93" s="4" t="s">
        <v>474</v>
      </c>
      <c r="M93" s="4" t="s">
        <v>270</v>
      </c>
      <c r="N93" s="9">
        <v>0.99990000000000001</v>
      </c>
      <c r="O93" s="9">
        <v>0.69399999999999995</v>
      </c>
      <c r="P93" s="4" t="s">
        <v>76</v>
      </c>
      <c r="Q93" s="4"/>
      <c r="R93" s="1"/>
      <c r="S93" s="1"/>
      <c r="T93" s="1"/>
      <c r="U93" s="1"/>
      <c r="V93" s="1"/>
      <c r="W93" s="1"/>
      <c r="X93" s="1"/>
      <c r="Y93" s="1"/>
      <c r="Z93" s="1"/>
    </row>
    <row r="94" spans="1:26" ht="42" customHeight="1">
      <c r="A94" s="4" t="s">
        <v>300</v>
      </c>
      <c r="B94" s="4" t="s">
        <v>269</v>
      </c>
      <c r="C94" s="4" t="s">
        <v>301</v>
      </c>
      <c r="D94" s="17" t="str">
        <f>IFERROR(VLOOKUP(A94,翻译清单!$A$6:$L$155,3,FALSE),"")</f>
        <v>右键单击</v>
      </c>
      <c r="E94" s="8">
        <v>5</v>
      </c>
      <c r="F94" s="8">
        <v>500</v>
      </c>
      <c r="G94" s="8">
        <v>335</v>
      </c>
      <c r="H94" s="8">
        <v>151</v>
      </c>
      <c r="I94" s="8">
        <v>33</v>
      </c>
      <c r="J94" s="8">
        <v>27</v>
      </c>
      <c r="K94" s="4" t="s">
        <v>216</v>
      </c>
      <c r="L94" s="4" t="s">
        <v>521</v>
      </c>
      <c r="M94" s="4" t="s">
        <v>270</v>
      </c>
      <c r="N94" s="9">
        <v>0.99950000000000006</v>
      </c>
      <c r="O94" s="9">
        <v>1</v>
      </c>
      <c r="P94" s="4" t="s">
        <v>71</v>
      </c>
      <c r="Q94" s="4"/>
      <c r="R94" s="1"/>
      <c r="S94" s="1"/>
      <c r="T94" s="1"/>
      <c r="U94" s="1"/>
      <c r="V94" s="1"/>
      <c r="W94" s="1"/>
      <c r="X94" s="1"/>
      <c r="Y94" s="1"/>
      <c r="Z94" s="1"/>
    </row>
    <row r="95" spans="1:26" ht="42" customHeight="1">
      <c r="A95" s="4" t="s">
        <v>302</v>
      </c>
      <c r="B95" s="4" t="s">
        <v>269</v>
      </c>
      <c r="C95" s="4" t="s">
        <v>303</v>
      </c>
      <c r="D95" s="17" t="str">
        <f>IFERROR(VLOOKUP(A95,翻译清单!$A$6:$L$155,3,FALSE),"")</f>
        <v>单击鼠标中键</v>
      </c>
      <c r="E95" s="8">
        <v>1</v>
      </c>
      <c r="F95" s="8">
        <v>341</v>
      </c>
      <c r="G95" s="8">
        <v>60</v>
      </c>
      <c r="H95" s="8">
        <v>248</v>
      </c>
      <c r="I95" s="8">
        <v>20</v>
      </c>
      <c r="J95" s="8">
        <v>16</v>
      </c>
      <c r="K95" s="4" t="s">
        <v>216</v>
      </c>
      <c r="L95" s="4" t="s">
        <v>522</v>
      </c>
      <c r="M95" s="4" t="s">
        <v>270</v>
      </c>
      <c r="N95" s="9">
        <v>0.99750000000000005</v>
      </c>
      <c r="O95" s="9">
        <v>1</v>
      </c>
      <c r="P95" s="4" t="s">
        <v>71</v>
      </c>
      <c r="Q95" s="4"/>
      <c r="R95" s="1"/>
      <c r="S95" s="1"/>
      <c r="T95" s="1"/>
      <c r="U95" s="1"/>
      <c r="V95" s="1"/>
      <c r="W95" s="1"/>
      <c r="X95" s="1"/>
      <c r="Y95" s="1"/>
      <c r="Z95" s="1"/>
    </row>
    <row r="96" spans="1:26" ht="42" customHeight="1">
      <c r="A96" s="4" t="s">
        <v>304</v>
      </c>
      <c r="B96" s="4" t="s">
        <v>269</v>
      </c>
      <c r="C96" s="4" t="s">
        <v>305</v>
      </c>
      <c r="D96" s="17" t="str">
        <f>IFERROR(VLOOKUP(A96,翻译清单!$A$6:$L$155,3,FALSE),"")</f>
        <v>隐藏消息窗口</v>
      </c>
      <c r="E96" s="8">
        <v>1</v>
      </c>
      <c r="F96" s="8">
        <v>7</v>
      </c>
      <c r="G96" s="8">
        <v>207</v>
      </c>
      <c r="H96" s="8">
        <v>527</v>
      </c>
      <c r="I96" s="8">
        <v>41</v>
      </c>
      <c r="J96" s="8">
        <v>34</v>
      </c>
      <c r="K96" s="4" t="s">
        <v>216</v>
      </c>
      <c r="L96" s="4" t="s">
        <v>515</v>
      </c>
      <c r="M96" s="4" t="s">
        <v>270</v>
      </c>
      <c r="N96" s="9">
        <v>0.97609999999999997</v>
      </c>
      <c r="O96" s="9">
        <v>0.86699999999999999</v>
      </c>
      <c r="P96" s="4" t="s">
        <v>71</v>
      </c>
      <c r="Q96" s="4"/>
      <c r="R96" s="1"/>
      <c r="S96" s="1"/>
      <c r="T96" s="1"/>
      <c r="U96" s="1"/>
      <c r="V96" s="1"/>
      <c r="W96" s="1"/>
      <c r="X96" s="1"/>
      <c r="Y96" s="1"/>
      <c r="Z96" s="1"/>
    </row>
    <row r="97" spans="1:26" ht="42" customHeight="1">
      <c r="A97" s="4" t="s">
        <v>306</v>
      </c>
      <c r="B97" s="4" t="s">
        <v>269</v>
      </c>
      <c r="C97" s="4" t="s">
        <v>307</v>
      </c>
      <c r="D97" s="17" t="str">
        <f>IFERROR(VLOOKUP(A97,翻译清单!$A$6:$L$155,3,FALSE),"")</f>
        <v>详细设置</v>
      </c>
      <c r="E97" s="8">
        <v>3</v>
      </c>
      <c r="F97" s="8">
        <v>306</v>
      </c>
      <c r="G97" s="8">
        <v>452</v>
      </c>
      <c r="H97" s="8">
        <v>119</v>
      </c>
      <c r="I97" s="8">
        <v>33</v>
      </c>
      <c r="J97" s="8">
        <v>27</v>
      </c>
      <c r="K97" s="4" t="s">
        <v>216</v>
      </c>
      <c r="L97" s="4" t="s">
        <v>474</v>
      </c>
      <c r="M97" s="4" t="s">
        <v>270</v>
      </c>
      <c r="N97" s="9">
        <v>0.99990000000000001</v>
      </c>
      <c r="O97" s="9">
        <v>1</v>
      </c>
      <c r="P97" s="4" t="s">
        <v>71</v>
      </c>
      <c r="Q97" s="4"/>
      <c r="R97" s="1"/>
      <c r="S97" s="1"/>
      <c r="T97" s="1"/>
      <c r="U97" s="1"/>
      <c r="V97" s="1"/>
      <c r="W97" s="1"/>
      <c r="X97" s="1"/>
      <c r="Y97" s="1"/>
      <c r="Z97" s="1"/>
    </row>
    <row r="98" spans="1:26" ht="42" customHeight="1">
      <c r="A98" s="4" t="s">
        <v>308</v>
      </c>
      <c r="B98" s="4" t="s">
        <v>269</v>
      </c>
      <c r="C98" s="4" t="s">
        <v>309</v>
      </c>
      <c r="D98" s="17" t="str">
        <f>IFERROR(VLOOKUP(A98,翻译清单!$A$6:$L$155,3,FALSE),"")</f>
        <v>类型 A</v>
      </c>
      <c r="E98" s="8">
        <v>5</v>
      </c>
      <c r="F98" s="8">
        <v>307</v>
      </c>
      <c r="G98" s="8">
        <v>551</v>
      </c>
      <c r="H98" s="8">
        <v>109</v>
      </c>
      <c r="I98" s="8">
        <v>33</v>
      </c>
      <c r="J98" s="8">
        <v>27</v>
      </c>
      <c r="K98" s="4" t="s">
        <v>216</v>
      </c>
      <c r="L98" s="4" t="s">
        <v>474</v>
      </c>
      <c r="M98" s="4" t="s">
        <v>270</v>
      </c>
      <c r="N98" s="9">
        <v>0.99929999999999997</v>
      </c>
      <c r="O98" s="9">
        <v>1</v>
      </c>
      <c r="P98" s="4" t="s">
        <v>71</v>
      </c>
      <c r="Q98" s="4"/>
      <c r="R98" s="1"/>
      <c r="S98" s="1"/>
      <c r="T98" s="1"/>
      <c r="U98" s="1"/>
      <c r="V98" s="1"/>
      <c r="W98" s="1"/>
      <c r="X98" s="1"/>
      <c r="Y98" s="1"/>
      <c r="Z98" s="1"/>
    </row>
    <row r="99" spans="1:26" ht="42" customHeight="1">
      <c r="A99" s="4" t="s">
        <v>310</v>
      </c>
      <c r="B99" s="4" t="s">
        <v>269</v>
      </c>
      <c r="C99" s="4" t="s">
        <v>311</v>
      </c>
      <c r="D99" s="17" t="str">
        <f>IFERROR(VLOOKUP(A99,翻译清单!$A$6:$L$155,3,FALSE),"")</f>
        <v>类型 B</v>
      </c>
      <c r="E99" s="8">
        <v>5</v>
      </c>
      <c r="F99" s="8">
        <v>305</v>
      </c>
      <c r="G99" s="8">
        <v>582</v>
      </c>
      <c r="H99" s="8">
        <v>107</v>
      </c>
      <c r="I99" s="8">
        <v>34</v>
      </c>
      <c r="J99" s="8">
        <v>28</v>
      </c>
      <c r="K99" s="4" t="s">
        <v>216</v>
      </c>
      <c r="L99" s="4" t="s">
        <v>483</v>
      </c>
      <c r="M99" s="4" t="s">
        <v>270</v>
      </c>
      <c r="N99" s="9">
        <v>0.99990000000000001</v>
      </c>
      <c r="O99" s="9">
        <v>1</v>
      </c>
      <c r="P99" s="4" t="s">
        <v>71</v>
      </c>
      <c r="Q99" s="4"/>
      <c r="R99" s="1"/>
      <c r="S99" s="1"/>
      <c r="T99" s="1"/>
      <c r="U99" s="1"/>
      <c r="V99" s="1"/>
      <c r="W99" s="1"/>
      <c r="X99" s="1"/>
      <c r="Y99" s="1"/>
      <c r="Z99" s="1"/>
    </row>
    <row r="100" spans="1:26" ht="42" customHeight="1">
      <c r="A100" s="4" t="s">
        <v>115</v>
      </c>
      <c r="B100" s="4" t="s">
        <v>269</v>
      </c>
      <c r="C100" s="4" t="s">
        <v>116</v>
      </c>
      <c r="D100" s="17" t="str">
        <f>IFERROR(VLOOKUP(A100,翻译清单!$A$6:$L$155,3,FALSE),"")</f>
        <v>开</v>
      </c>
      <c r="E100" s="8">
        <v>6</v>
      </c>
      <c r="F100" s="8">
        <v>500</v>
      </c>
      <c r="G100" s="8">
        <v>591</v>
      </c>
      <c r="H100" s="8">
        <v>47</v>
      </c>
      <c r="I100" s="8">
        <v>29</v>
      </c>
      <c r="J100" s="8">
        <v>24</v>
      </c>
      <c r="K100" s="4" t="s">
        <v>216</v>
      </c>
      <c r="L100" s="4" t="s">
        <v>518</v>
      </c>
      <c r="M100" s="4" t="s">
        <v>270</v>
      </c>
      <c r="N100" s="9">
        <v>1</v>
      </c>
      <c r="O100" s="9">
        <v>1</v>
      </c>
      <c r="P100" s="4" t="s">
        <v>71</v>
      </c>
      <c r="Q100" s="4" t="s">
        <v>109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42" customHeight="1">
      <c r="A101" s="4" t="s">
        <v>121</v>
      </c>
      <c r="B101" s="4" t="s">
        <v>269</v>
      </c>
      <c r="C101" s="4" t="s">
        <v>122</v>
      </c>
      <c r="D101" s="17" t="str">
        <f>IFERROR(VLOOKUP(A101,翻译清单!$A$6:$L$155,3,FALSE),"")</f>
        <v>关闭</v>
      </c>
      <c r="E101" s="8">
        <v>4</v>
      </c>
      <c r="F101" s="8">
        <v>583</v>
      </c>
      <c r="G101" s="8">
        <v>221</v>
      </c>
      <c r="H101" s="8">
        <v>61</v>
      </c>
      <c r="I101" s="8">
        <v>25</v>
      </c>
      <c r="J101" s="8">
        <v>20</v>
      </c>
      <c r="K101" s="4" t="s">
        <v>216</v>
      </c>
      <c r="L101" s="4" t="s">
        <v>474</v>
      </c>
      <c r="M101" s="4" t="s">
        <v>270</v>
      </c>
      <c r="N101" s="9">
        <v>0.99990000000000001</v>
      </c>
      <c r="O101" s="9">
        <v>1</v>
      </c>
      <c r="P101" s="4" t="s">
        <v>71</v>
      </c>
      <c r="Q101" s="4" t="s">
        <v>109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2" customHeight="1">
      <c r="A102" s="4" t="s">
        <v>312</v>
      </c>
      <c r="B102" s="4" t="s">
        <v>269</v>
      </c>
      <c r="C102" s="4" t="s">
        <v>313</v>
      </c>
      <c r="D102" s="17" t="str">
        <f>IFERROR(VLOOKUP(A102,翻译清单!$A$6:$L$155,3,FALSE),"")</f>
        <v>不等待</v>
      </c>
      <c r="E102" s="8">
        <v>1</v>
      </c>
      <c r="F102" s="8">
        <v>501</v>
      </c>
      <c r="G102" s="8">
        <v>624</v>
      </c>
      <c r="H102" s="8">
        <v>145</v>
      </c>
      <c r="I102" s="8">
        <v>26</v>
      </c>
      <c r="J102" s="8">
        <v>21</v>
      </c>
      <c r="K102" s="4" t="s">
        <v>216</v>
      </c>
      <c r="L102" s="4" t="s">
        <v>523</v>
      </c>
      <c r="M102" s="4" t="s">
        <v>270</v>
      </c>
      <c r="N102" s="9">
        <v>0.99980000000000002</v>
      </c>
      <c r="O102" s="9">
        <v>0.91200000000000003</v>
      </c>
      <c r="P102" s="4" t="s">
        <v>71</v>
      </c>
      <c r="Q102" s="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42" customHeight="1">
      <c r="A103" s="4" t="s">
        <v>314</v>
      </c>
      <c r="B103" s="4" t="s">
        <v>269</v>
      </c>
      <c r="C103" s="4" t="s">
        <v>315</v>
      </c>
      <c r="D103" s="17" t="str">
        <f>IFERROR(VLOOKUP(A103,翻译清单!$A$6:$L$155,3,FALSE),"")</f>
        <v>×0.5</v>
      </c>
      <c r="E103" s="8">
        <v>1</v>
      </c>
      <c r="F103" s="8">
        <v>506</v>
      </c>
      <c r="G103" s="8">
        <v>0</v>
      </c>
      <c r="H103" s="8">
        <v>143</v>
      </c>
      <c r="I103" s="8">
        <v>23</v>
      </c>
      <c r="J103" s="8">
        <v>19</v>
      </c>
      <c r="K103" s="4" t="s">
        <v>216</v>
      </c>
      <c r="L103" s="4" t="s">
        <v>474</v>
      </c>
      <c r="M103" s="4" t="s">
        <v>270</v>
      </c>
      <c r="N103" s="9">
        <v>0.96599999999999997</v>
      </c>
      <c r="O103" s="9">
        <v>0.75</v>
      </c>
      <c r="P103" s="4" t="s">
        <v>76</v>
      </c>
      <c r="Q103" s="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42" customHeight="1">
      <c r="A104" s="4" t="s">
        <v>316</v>
      </c>
      <c r="B104" s="4" t="s">
        <v>269</v>
      </c>
      <c r="C104" s="4" t="s">
        <v>317</v>
      </c>
      <c r="D104" s="17" t="str">
        <f>IFERROR(VLOOKUP(A104,翻译清单!$A$6:$L$155,3,FALSE),"")</f>
        <v>×2</v>
      </c>
      <c r="E104" s="8">
        <v>6</v>
      </c>
      <c r="F104" s="8">
        <v>303</v>
      </c>
      <c r="G104" s="8">
        <v>282</v>
      </c>
      <c r="H104" s="8">
        <v>170</v>
      </c>
      <c r="I104" s="8">
        <v>27</v>
      </c>
      <c r="J104" s="8">
        <v>22</v>
      </c>
      <c r="K104" s="4" t="s">
        <v>216</v>
      </c>
      <c r="L104" s="4" t="s">
        <v>520</v>
      </c>
      <c r="M104" s="4" t="s">
        <v>270</v>
      </c>
      <c r="N104" s="9">
        <v>0.99960000000000004</v>
      </c>
      <c r="O104" s="9">
        <v>0.7</v>
      </c>
      <c r="P104" s="4" t="s">
        <v>76</v>
      </c>
      <c r="Q104" s="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42" customHeight="1">
      <c r="A105" s="4" t="s">
        <v>235</v>
      </c>
      <c r="B105" s="4" t="s">
        <v>320</v>
      </c>
      <c r="C105" s="4" t="s">
        <v>236</v>
      </c>
      <c r="D105" s="17" t="str">
        <f>IFERROR(VLOOKUP(A105,翻译清单!$A$6:$L$155,3,FALSE),"")</f>
        <v>文本速度</v>
      </c>
      <c r="E105" s="8">
        <v>1</v>
      </c>
      <c r="F105" s="8">
        <v>1</v>
      </c>
      <c r="G105" s="8">
        <v>460</v>
      </c>
      <c r="H105" s="8">
        <v>230</v>
      </c>
      <c r="I105" s="8">
        <v>33</v>
      </c>
      <c r="J105" s="8">
        <v>27</v>
      </c>
      <c r="K105" s="4" t="s">
        <v>216</v>
      </c>
      <c r="L105" s="4" t="s">
        <v>472</v>
      </c>
      <c r="M105" s="4" t="s">
        <v>270</v>
      </c>
      <c r="N105" s="9">
        <v>0.99009999999999998</v>
      </c>
      <c r="O105" s="9">
        <v>1</v>
      </c>
      <c r="P105" s="4" t="s">
        <v>71</v>
      </c>
      <c r="Q105" s="4" t="s">
        <v>109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2" customHeight="1">
      <c r="A106" s="4" t="s">
        <v>318</v>
      </c>
      <c r="B106" s="4" t="s">
        <v>320</v>
      </c>
      <c r="C106" s="4" t="s">
        <v>319</v>
      </c>
      <c r="D106" s="17" t="str">
        <f>IFERROR(VLOOKUP(A106,翻译清单!$A$6:$L$155,3,FALSE),"")</f>
        <v>已读消息即时显示</v>
      </c>
      <c r="E106" s="8">
        <v>1</v>
      </c>
      <c r="F106" s="8">
        <v>0</v>
      </c>
      <c r="G106" s="8">
        <v>179</v>
      </c>
      <c r="H106" s="8">
        <v>503</v>
      </c>
      <c r="I106" s="8">
        <v>37</v>
      </c>
      <c r="J106" s="8">
        <v>30</v>
      </c>
      <c r="K106" s="4" t="s">
        <v>216</v>
      </c>
      <c r="L106" s="4" t="s">
        <v>524</v>
      </c>
      <c r="M106" s="4" t="s">
        <v>270</v>
      </c>
      <c r="N106" s="9">
        <v>0.9849</v>
      </c>
      <c r="O106" s="9">
        <v>0.93</v>
      </c>
      <c r="P106" s="4" t="s">
        <v>71</v>
      </c>
      <c r="Q106" s="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2" customHeight="1">
      <c r="A107" s="4" t="s">
        <v>240</v>
      </c>
      <c r="B107" s="4" t="s">
        <v>320</v>
      </c>
      <c r="C107" s="4" t="s">
        <v>241</v>
      </c>
      <c r="D107" s="17" t="str">
        <f>IFERROR(VLOOKUP(A107,翻译清单!$A$6:$L$155,3,FALSE),"")</f>
        <v>自动播放速度</v>
      </c>
      <c r="E107" s="8">
        <v>1</v>
      </c>
      <c r="F107" s="8">
        <v>0</v>
      </c>
      <c r="G107" s="8">
        <v>395</v>
      </c>
      <c r="H107" s="8">
        <v>264</v>
      </c>
      <c r="I107" s="8">
        <v>38</v>
      </c>
      <c r="J107" s="8">
        <v>31</v>
      </c>
      <c r="K107" s="4" t="s">
        <v>216</v>
      </c>
      <c r="L107" s="4" t="s">
        <v>472</v>
      </c>
      <c r="M107" s="4" t="s">
        <v>270</v>
      </c>
      <c r="N107" s="9">
        <v>0.99890000000000001</v>
      </c>
      <c r="O107" s="9">
        <v>1</v>
      </c>
      <c r="P107" s="4" t="s">
        <v>71</v>
      </c>
      <c r="Q107" s="4" t="s">
        <v>109</v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2" customHeight="1">
      <c r="A108" s="4" t="s">
        <v>321</v>
      </c>
      <c r="B108" s="4" t="s">
        <v>320</v>
      </c>
      <c r="C108" s="4" t="s">
        <v>322</v>
      </c>
      <c r="D108" s="17" t="str">
        <f>IFERROR(VLOOKUP(A108,翻译清单!$A$6:$L$155,3,FALSE),"")</f>
        <v>选项后跳过消息</v>
      </c>
      <c r="E108" s="8">
        <v>1</v>
      </c>
      <c r="F108" s="8">
        <v>0</v>
      </c>
      <c r="G108" s="8">
        <v>147</v>
      </c>
      <c r="H108" s="8">
        <v>529</v>
      </c>
      <c r="I108" s="8">
        <v>39</v>
      </c>
      <c r="J108" s="8">
        <v>32</v>
      </c>
      <c r="K108" s="4" t="s">
        <v>216</v>
      </c>
      <c r="L108" s="4" t="s">
        <v>514</v>
      </c>
      <c r="M108" s="4" t="s">
        <v>270</v>
      </c>
      <c r="N108" s="9">
        <v>0.98929999999999996</v>
      </c>
      <c r="O108" s="9">
        <v>0.95299999999999996</v>
      </c>
      <c r="P108" s="4" t="s">
        <v>71</v>
      </c>
      <c r="Q108" s="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2" customHeight="1">
      <c r="A109" s="4" t="s">
        <v>323</v>
      </c>
      <c r="B109" s="4" t="s">
        <v>320</v>
      </c>
      <c r="C109" s="4" t="s">
        <v>324</v>
      </c>
      <c r="D109" s="17" t="str">
        <f>IFERROR(VLOOKUP(A109,翻译清单!$A$6:$L$155,3,FALSE),"")</f>
        <v>自动播放时完整播放语音</v>
      </c>
      <c r="E109" s="8">
        <v>1</v>
      </c>
      <c r="F109" s="8">
        <v>1</v>
      </c>
      <c r="G109" s="8">
        <v>119</v>
      </c>
      <c r="H109" s="8">
        <v>461</v>
      </c>
      <c r="I109" s="8">
        <v>32</v>
      </c>
      <c r="J109" s="8">
        <v>26</v>
      </c>
      <c r="K109" s="4" t="s">
        <v>216</v>
      </c>
      <c r="L109" s="4" t="s">
        <v>468</v>
      </c>
      <c r="M109" s="4" t="s">
        <v>270</v>
      </c>
      <c r="N109" s="9">
        <v>0.99939999999999996</v>
      </c>
      <c r="O109" s="9">
        <v>1</v>
      </c>
      <c r="P109" s="4" t="s">
        <v>71</v>
      </c>
      <c r="Q109" s="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42" customHeight="1">
      <c r="A110" s="4" t="s">
        <v>325</v>
      </c>
      <c r="B110" s="4" t="s">
        <v>320</v>
      </c>
      <c r="C110" s="4" t="s">
        <v>326</v>
      </c>
      <c r="D110" s="17" t="str">
        <f>IFERROR(VLOOKUP(A110,翻译清单!$A$6:$L$155,3,FALSE),"")</f>
        <v>消息跳过速度</v>
      </c>
      <c r="E110" s="8">
        <v>1</v>
      </c>
      <c r="F110" s="8">
        <v>0</v>
      </c>
      <c r="G110" s="8">
        <v>241</v>
      </c>
      <c r="H110" s="8">
        <v>469</v>
      </c>
      <c r="I110" s="8">
        <v>39</v>
      </c>
      <c r="J110" s="8">
        <v>32</v>
      </c>
      <c r="K110" s="4" t="s">
        <v>216</v>
      </c>
      <c r="L110" s="4" t="s">
        <v>472</v>
      </c>
      <c r="M110" s="4" t="s">
        <v>270</v>
      </c>
      <c r="N110" s="9">
        <v>0.9829</v>
      </c>
      <c r="O110" s="9">
        <v>0.92500000000000004</v>
      </c>
      <c r="P110" s="4" t="s">
        <v>71</v>
      </c>
      <c r="Q110" s="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42" customHeight="1">
      <c r="A111" s="4" t="s">
        <v>327</v>
      </c>
      <c r="B111" s="4" t="s">
        <v>320</v>
      </c>
      <c r="C111" s="4" t="s">
        <v>328</v>
      </c>
      <c r="D111" s="17" t="str">
        <f>IFERROR(VLOOKUP(A111,翻译清单!$A$6:$L$155,3,FALSE),"")</f>
        <v>消息跳过设置</v>
      </c>
      <c r="E111" s="8">
        <v>1</v>
      </c>
      <c r="F111" s="8">
        <v>0</v>
      </c>
      <c r="G111" s="8">
        <v>273</v>
      </c>
      <c r="H111" s="8">
        <v>469</v>
      </c>
      <c r="I111" s="8">
        <v>38</v>
      </c>
      <c r="J111" s="8">
        <v>31</v>
      </c>
      <c r="K111" s="4" t="s">
        <v>216</v>
      </c>
      <c r="L111" s="4" t="s">
        <v>472</v>
      </c>
      <c r="M111" s="4" t="s">
        <v>270</v>
      </c>
      <c r="N111" s="9">
        <v>0.95469999999999999</v>
      </c>
      <c r="O111" s="9">
        <v>0.92500000000000004</v>
      </c>
      <c r="P111" s="4" t="s">
        <v>71</v>
      </c>
      <c r="Q111" s="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42" customHeight="1">
      <c r="A112" s="4" t="s">
        <v>329</v>
      </c>
      <c r="B112" s="4" t="s">
        <v>320</v>
      </c>
      <c r="C112" s="4" t="s">
        <v>330</v>
      </c>
      <c r="D112" s="17" t="str">
        <f>IFERROR(VLOOKUP(A112,翻译清单!$A$6:$L$155,3,FALSE),"")</f>
        <v>Ctrl跳过设置</v>
      </c>
      <c r="E112" s="8">
        <v>1</v>
      </c>
      <c r="F112" s="8">
        <v>0</v>
      </c>
      <c r="G112" s="8">
        <v>367</v>
      </c>
      <c r="H112" s="8">
        <v>265</v>
      </c>
      <c r="I112" s="8">
        <v>31</v>
      </c>
      <c r="J112" s="8">
        <v>25</v>
      </c>
      <c r="K112" s="4" t="s">
        <v>216</v>
      </c>
      <c r="L112" s="4" t="s">
        <v>468</v>
      </c>
      <c r="M112" s="4" t="s">
        <v>270</v>
      </c>
      <c r="N112" s="9">
        <v>0.9536</v>
      </c>
      <c r="O112" s="9">
        <v>0.9</v>
      </c>
      <c r="P112" s="4" t="s">
        <v>71</v>
      </c>
      <c r="Q112" s="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2" customHeight="1">
      <c r="A113" s="4" t="s">
        <v>331</v>
      </c>
      <c r="B113" s="4" t="s">
        <v>320</v>
      </c>
      <c r="C113" s="4" t="s">
        <v>332</v>
      </c>
      <c r="D113" s="17" t="str">
        <f>IFERROR(VLOOKUP(A113,翻译清单!$A$6:$L$155,3,FALSE),"")</f>
        <v>消息窗口不透明度</v>
      </c>
      <c r="E113" s="8">
        <v>1</v>
      </c>
      <c r="F113" s="8">
        <v>0</v>
      </c>
      <c r="G113" s="8">
        <v>210</v>
      </c>
      <c r="H113" s="8">
        <v>503</v>
      </c>
      <c r="I113" s="8">
        <v>38</v>
      </c>
      <c r="J113" s="8">
        <v>31</v>
      </c>
      <c r="K113" s="4" t="s">
        <v>216</v>
      </c>
      <c r="L113" s="4" t="s">
        <v>472</v>
      </c>
      <c r="M113" s="4" t="s">
        <v>270</v>
      </c>
      <c r="N113" s="9">
        <v>0.97819999999999996</v>
      </c>
      <c r="O113" s="9">
        <v>0.93</v>
      </c>
      <c r="P113" s="4" t="s">
        <v>71</v>
      </c>
      <c r="Q113" s="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42" customHeight="1">
      <c r="A114" s="4" t="s">
        <v>333</v>
      </c>
      <c r="B114" s="4" t="s">
        <v>320</v>
      </c>
      <c r="C114" s="4" t="s">
        <v>334</v>
      </c>
      <c r="D114" s="17" t="str">
        <f>IFERROR(VLOOKUP(A114,翻译清单!$A$6:$L$155,3,FALSE),"")</f>
        <v>戏剧模式</v>
      </c>
      <c r="E114" s="8">
        <v>1</v>
      </c>
      <c r="F114" s="8">
        <v>1</v>
      </c>
      <c r="G114" s="8">
        <v>336</v>
      </c>
      <c r="H114" s="8">
        <v>301</v>
      </c>
      <c r="I114" s="8">
        <v>33</v>
      </c>
      <c r="J114" s="8">
        <v>27</v>
      </c>
      <c r="K114" s="4" t="s">
        <v>216</v>
      </c>
      <c r="L114" s="4" t="s">
        <v>525</v>
      </c>
      <c r="M114" s="4" t="s">
        <v>270</v>
      </c>
      <c r="N114" s="9">
        <v>0.99670000000000003</v>
      </c>
      <c r="O114" s="9">
        <v>1</v>
      </c>
      <c r="P114" s="4" t="s">
        <v>71</v>
      </c>
      <c r="Q114" s="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2" customHeight="1">
      <c r="A115" s="4" t="s">
        <v>335</v>
      </c>
      <c r="B115" s="4" t="s">
        <v>320</v>
      </c>
      <c r="C115" s="4" t="s">
        <v>336</v>
      </c>
      <c r="D115" s="17" t="str">
        <f>IFERROR(VLOOKUP(A115,翻译清单!$A$6:$L$155,3,FALSE),"")</f>
        <v>外部语音工具联动</v>
      </c>
      <c r="E115" s="8">
        <v>1</v>
      </c>
      <c r="F115" s="8">
        <v>3</v>
      </c>
      <c r="G115" s="8">
        <v>307</v>
      </c>
      <c r="H115" s="8">
        <v>297</v>
      </c>
      <c r="I115" s="8">
        <v>33</v>
      </c>
      <c r="J115" s="8">
        <v>27</v>
      </c>
      <c r="K115" s="4" t="s">
        <v>216</v>
      </c>
      <c r="L115" s="4" t="s">
        <v>526</v>
      </c>
      <c r="M115" s="4" t="s">
        <v>270</v>
      </c>
      <c r="N115" s="9">
        <v>0.99760000000000004</v>
      </c>
      <c r="O115" s="9">
        <v>1</v>
      </c>
      <c r="P115" s="4" t="s">
        <v>71</v>
      </c>
      <c r="Q115" s="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42" customHeight="1">
      <c r="A116" s="4" t="s">
        <v>337</v>
      </c>
      <c r="B116" s="4" t="s">
        <v>320</v>
      </c>
      <c r="C116" s="4" t="s">
        <v>338</v>
      </c>
      <c r="D116" s="17" t="str">
        <f>IFERROR(VLOOKUP(A116,翻译清单!$A$6:$L$155,3,FALSE),"")</f>
        <v>示例文本</v>
      </c>
      <c r="E116" s="8">
        <v>1</v>
      </c>
      <c r="F116" s="8">
        <v>0</v>
      </c>
      <c r="G116" s="8">
        <v>431</v>
      </c>
      <c r="H116" s="8">
        <v>261</v>
      </c>
      <c r="I116" s="8">
        <v>31</v>
      </c>
      <c r="J116" s="8">
        <v>25</v>
      </c>
      <c r="K116" s="4" t="s">
        <v>216</v>
      </c>
      <c r="L116" s="4" t="s">
        <v>474</v>
      </c>
      <c r="M116" s="4" t="s">
        <v>270</v>
      </c>
      <c r="N116" s="9">
        <v>0.99929999999999997</v>
      </c>
      <c r="O116" s="9">
        <v>1</v>
      </c>
      <c r="P116" s="4" t="s">
        <v>71</v>
      </c>
      <c r="Q116" s="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42" customHeight="1">
      <c r="A117" s="4" t="s">
        <v>249</v>
      </c>
      <c r="B117" s="4" t="s">
        <v>320</v>
      </c>
      <c r="C117" s="4" t="s">
        <v>250</v>
      </c>
      <c r="D117" s="17" t="str">
        <f>IFERROR(VLOOKUP(A117,翻译清单!$A$6:$L$155,3,FALSE),"")</f>
        <v>仅已读</v>
      </c>
      <c r="E117" s="8">
        <v>6</v>
      </c>
      <c r="F117" s="8">
        <v>347</v>
      </c>
      <c r="G117" s="8">
        <v>309</v>
      </c>
      <c r="H117" s="8">
        <v>119</v>
      </c>
      <c r="I117" s="8">
        <v>33</v>
      </c>
      <c r="J117" s="8">
        <v>27</v>
      </c>
      <c r="K117" s="4" t="s">
        <v>216</v>
      </c>
      <c r="L117" s="4" t="s">
        <v>483</v>
      </c>
      <c r="M117" s="4" t="s">
        <v>270</v>
      </c>
      <c r="N117" s="9">
        <v>0.99990000000000001</v>
      </c>
      <c r="O117" s="9">
        <v>1</v>
      </c>
      <c r="P117" s="4" t="s">
        <v>71</v>
      </c>
      <c r="Q117" s="4" t="s">
        <v>109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2" customHeight="1">
      <c r="A118" s="4" t="s">
        <v>254</v>
      </c>
      <c r="B118" s="4" t="s">
        <v>320</v>
      </c>
      <c r="C118" s="4" t="s">
        <v>255</v>
      </c>
      <c r="D118" s="17" t="str">
        <f>IFERROR(VLOOKUP(A118,翻译清单!$A$6:$L$155,3,FALSE),"")</f>
        <v>全部文本</v>
      </c>
      <c r="E118" s="8">
        <v>6</v>
      </c>
      <c r="F118" s="8">
        <v>457</v>
      </c>
      <c r="G118" s="8">
        <v>424</v>
      </c>
      <c r="H118" s="8">
        <v>63</v>
      </c>
      <c r="I118" s="8">
        <v>35</v>
      </c>
      <c r="J118" s="8">
        <v>29</v>
      </c>
      <c r="K118" s="4" t="s">
        <v>216</v>
      </c>
      <c r="L118" s="4" t="s">
        <v>474</v>
      </c>
      <c r="M118" s="4" t="s">
        <v>270</v>
      </c>
      <c r="N118" s="9">
        <v>1</v>
      </c>
      <c r="O118" s="9">
        <v>1</v>
      </c>
      <c r="P118" s="4" t="s">
        <v>71</v>
      </c>
      <c r="Q118" s="4" t="s">
        <v>109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42" customHeight="1">
      <c r="A119" s="4" t="s">
        <v>339</v>
      </c>
      <c r="B119" s="4" t="s">
        <v>320</v>
      </c>
      <c r="C119" s="4" t="s">
        <v>340</v>
      </c>
      <c r="D119" s="17" t="str">
        <f>IFERROR(VLOOKUP(A119,翻译清单!$A$6:$L$155,3,FALSE),"")</f>
        <v>中断</v>
      </c>
      <c r="E119" s="8">
        <v>3</v>
      </c>
      <c r="F119" s="8">
        <v>457</v>
      </c>
      <c r="G119" s="8">
        <v>458</v>
      </c>
      <c r="H119" s="8">
        <v>62</v>
      </c>
      <c r="I119" s="8">
        <v>33</v>
      </c>
      <c r="J119" s="8">
        <v>27</v>
      </c>
      <c r="K119" s="4" t="s">
        <v>216</v>
      </c>
      <c r="L119" s="4" t="s">
        <v>474</v>
      </c>
      <c r="M119" s="4" t="s">
        <v>270</v>
      </c>
      <c r="N119" s="9">
        <v>0.99970000000000003</v>
      </c>
      <c r="O119" s="9">
        <v>1</v>
      </c>
      <c r="P119" s="4" t="s">
        <v>71</v>
      </c>
      <c r="Q119" s="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42" customHeight="1">
      <c r="A120" s="4" t="s">
        <v>341</v>
      </c>
      <c r="B120" s="4" t="s">
        <v>320</v>
      </c>
      <c r="C120" s="4" t="s">
        <v>342</v>
      </c>
      <c r="D120" s="17" t="str">
        <f>IFERROR(VLOOKUP(A120,翻译清单!$A$6:$L$155,3,FALSE),"")</f>
        <v>继续</v>
      </c>
      <c r="E120" s="8">
        <v>1</v>
      </c>
      <c r="F120" s="8">
        <v>0</v>
      </c>
      <c r="G120" s="8">
        <v>273</v>
      </c>
      <c r="H120" s="8">
        <v>469</v>
      </c>
      <c r="I120" s="8">
        <v>38</v>
      </c>
      <c r="J120" s="8">
        <v>31</v>
      </c>
      <c r="K120" s="4" t="s">
        <v>216</v>
      </c>
      <c r="L120" s="4" t="s">
        <v>472</v>
      </c>
      <c r="M120" s="4" t="s">
        <v>270</v>
      </c>
      <c r="N120" s="9">
        <v>0.95469999999999999</v>
      </c>
      <c r="O120" s="9">
        <v>0.7</v>
      </c>
      <c r="P120" s="4" t="s">
        <v>76</v>
      </c>
      <c r="Q120" s="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42" customHeight="1">
      <c r="A121" s="4" t="s">
        <v>115</v>
      </c>
      <c r="B121" s="4" t="s">
        <v>320</v>
      </c>
      <c r="C121" s="4" t="s">
        <v>116</v>
      </c>
      <c r="D121" s="17" t="str">
        <f>IFERROR(VLOOKUP(A121,翻译清单!$A$6:$L$155,3,FALSE),"")</f>
        <v>开</v>
      </c>
      <c r="E121" s="8">
        <v>2</v>
      </c>
      <c r="F121" s="8">
        <v>480</v>
      </c>
      <c r="G121" s="8">
        <v>157</v>
      </c>
      <c r="H121" s="8">
        <v>45</v>
      </c>
      <c r="I121" s="8">
        <v>26</v>
      </c>
      <c r="J121" s="8">
        <v>21</v>
      </c>
      <c r="K121" s="4" t="s">
        <v>216</v>
      </c>
      <c r="L121" s="4" t="s">
        <v>483</v>
      </c>
      <c r="M121" s="4" t="s">
        <v>270</v>
      </c>
      <c r="N121" s="9">
        <v>0.99960000000000004</v>
      </c>
      <c r="O121" s="9">
        <v>1</v>
      </c>
      <c r="P121" s="4" t="s">
        <v>71</v>
      </c>
      <c r="Q121" s="4" t="s">
        <v>109</v>
      </c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2" customHeight="1">
      <c r="A122" s="4" t="s">
        <v>121</v>
      </c>
      <c r="B122" s="4" t="s">
        <v>320</v>
      </c>
      <c r="C122" s="4" t="s">
        <v>122</v>
      </c>
      <c r="D122" s="17" t="str">
        <f>IFERROR(VLOOKUP(A122,翻译清单!$A$6:$L$155,3,FALSE),"")</f>
        <v>关闭</v>
      </c>
      <c r="E122" s="8">
        <v>2</v>
      </c>
      <c r="F122" s="8">
        <v>221</v>
      </c>
      <c r="G122" s="8">
        <v>528</v>
      </c>
      <c r="H122" s="8">
        <v>61</v>
      </c>
      <c r="I122" s="8">
        <v>27</v>
      </c>
      <c r="J122" s="8">
        <v>22</v>
      </c>
      <c r="K122" s="4" t="s">
        <v>216</v>
      </c>
      <c r="L122" s="4" t="s">
        <v>474</v>
      </c>
      <c r="M122" s="4" t="s">
        <v>270</v>
      </c>
      <c r="N122" s="9">
        <v>0.99990000000000001</v>
      </c>
      <c r="O122" s="9">
        <v>1</v>
      </c>
      <c r="P122" s="4" t="s">
        <v>71</v>
      </c>
      <c r="Q122" s="4" t="s">
        <v>109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42" customHeight="1">
      <c r="A123" s="4" t="s">
        <v>256</v>
      </c>
      <c r="B123" s="4" t="s">
        <v>345</v>
      </c>
      <c r="C123" s="4" t="s">
        <v>257</v>
      </c>
      <c r="D123" s="17" t="str">
        <f>IFERROR(VLOOKUP(A123,翻译清单!$A$6:$L$155,3,FALSE),"")</f>
        <v>主音量</v>
      </c>
      <c r="E123" s="8">
        <v>1</v>
      </c>
      <c r="F123" s="8">
        <v>888</v>
      </c>
      <c r="G123" s="8">
        <v>675</v>
      </c>
      <c r="H123" s="8">
        <v>282</v>
      </c>
      <c r="I123" s="8">
        <v>31</v>
      </c>
      <c r="J123" s="8">
        <v>25</v>
      </c>
      <c r="K123" s="4" t="s">
        <v>216</v>
      </c>
      <c r="L123" s="4" t="s">
        <v>527</v>
      </c>
      <c r="M123" s="4" t="s">
        <v>346</v>
      </c>
      <c r="N123" s="9">
        <v>0.99039999999999995</v>
      </c>
      <c r="O123" s="9">
        <v>0.46200000000000002</v>
      </c>
      <c r="P123" s="4" t="s">
        <v>357</v>
      </c>
      <c r="Q123" s="4" t="s">
        <v>109</v>
      </c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42" customHeight="1">
      <c r="A124" s="4" t="s">
        <v>260</v>
      </c>
      <c r="B124" s="4" t="s">
        <v>345</v>
      </c>
      <c r="C124" s="4" t="s">
        <v>261</v>
      </c>
      <c r="D124" s="17" t="str">
        <f>IFERROR(VLOOKUP(A124,翻译清单!$A$6:$L$155,3,FALSE),"")</f>
        <v>BGM</v>
      </c>
      <c r="E124" s="8">
        <v>2</v>
      </c>
      <c r="F124" s="8">
        <v>1161</v>
      </c>
      <c r="G124" s="8">
        <v>1271</v>
      </c>
      <c r="H124" s="8">
        <v>41</v>
      </c>
      <c r="I124" s="8">
        <v>19</v>
      </c>
      <c r="J124" s="8">
        <v>16</v>
      </c>
      <c r="K124" s="4" t="s">
        <v>216</v>
      </c>
      <c r="L124" s="4" t="s">
        <v>468</v>
      </c>
      <c r="M124" s="4" t="s">
        <v>346</v>
      </c>
      <c r="N124" s="9">
        <v>0.99960000000000004</v>
      </c>
      <c r="O124" s="9">
        <v>0.88300000000000001</v>
      </c>
      <c r="P124" s="4" t="s">
        <v>71</v>
      </c>
      <c r="Q124" s="4" t="s">
        <v>109</v>
      </c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2" customHeight="1">
      <c r="A125" s="4" t="s">
        <v>343</v>
      </c>
      <c r="B125" s="4" t="s">
        <v>345</v>
      </c>
      <c r="C125" s="4" t="s">
        <v>344</v>
      </c>
      <c r="D125" s="17" t="str">
        <f>IFERROR(VLOOKUP(A125,翻译清单!$A$6:$L$155,3,FALSE),"")</f>
        <v>BGM（语音播放时）</v>
      </c>
      <c r="E125" s="8">
        <v>1</v>
      </c>
      <c r="F125" s="8">
        <v>1161</v>
      </c>
      <c r="G125" s="8">
        <v>1271</v>
      </c>
      <c r="H125" s="8">
        <v>41</v>
      </c>
      <c r="I125" s="8">
        <v>19</v>
      </c>
      <c r="J125" s="8">
        <v>16</v>
      </c>
      <c r="K125" s="4" t="s">
        <v>216</v>
      </c>
      <c r="L125" s="4" t="s">
        <v>468</v>
      </c>
      <c r="M125" s="4" t="s">
        <v>346</v>
      </c>
      <c r="N125" s="9">
        <v>0.99960000000000004</v>
      </c>
      <c r="O125" s="9">
        <v>0.72799999999999998</v>
      </c>
      <c r="P125" s="4" t="s">
        <v>76</v>
      </c>
      <c r="Q125" s="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2" customHeight="1">
      <c r="A126" s="4" t="s">
        <v>265</v>
      </c>
      <c r="B126" s="4" t="s">
        <v>345</v>
      </c>
      <c r="C126" s="4" t="s">
        <v>266</v>
      </c>
      <c r="D126" s="17" t="str">
        <f>IFERROR(VLOOKUP(A126,翻译清单!$A$6:$L$155,3,FALSE),"")</f>
        <v>SE（游戏音效）</v>
      </c>
      <c r="E126" s="8">
        <v>1</v>
      </c>
      <c r="F126" s="8">
        <v>1227</v>
      </c>
      <c r="G126" s="8">
        <v>811</v>
      </c>
      <c r="H126" s="8">
        <v>31</v>
      </c>
      <c r="I126" s="8">
        <v>37</v>
      </c>
      <c r="J126" s="8">
        <v>30</v>
      </c>
      <c r="K126" s="4" t="s">
        <v>216</v>
      </c>
      <c r="L126" s="4" t="s">
        <v>468</v>
      </c>
      <c r="M126" s="4" t="s">
        <v>346</v>
      </c>
      <c r="N126" s="9">
        <v>0.94410000000000005</v>
      </c>
      <c r="O126" s="9">
        <v>0.69399999999999995</v>
      </c>
      <c r="P126" s="4" t="s">
        <v>76</v>
      </c>
      <c r="Q126" s="4" t="s">
        <v>109</v>
      </c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42" customHeight="1">
      <c r="A127" s="4" t="s">
        <v>347</v>
      </c>
      <c r="B127" s="4" t="s">
        <v>345</v>
      </c>
      <c r="C127" s="4" t="s">
        <v>348</v>
      </c>
      <c r="D127" s="17" t="str">
        <f>IFERROR(VLOOKUP(A127,翻译清单!$A$6:$L$155,3,FALSE),"")</f>
        <v>SE（系统音效）</v>
      </c>
      <c r="E127" s="8">
        <v>1</v>
      </c>
      <c r="F127" s="8">
        <v>1227</v>
      </c>
      <c r="G127" s="8">
        <v>811</v>
      </c>
      <c r="H127" s="8">
        <v>31</v>
      </c>
      <c r="I127" s="8">
        <v>37</v>
      </c>
      <c r="J127" s="8">
        <v>30</v>
      </c>
      <c r="K127" s="4" t="s">
        <v>216</v>
      </c>
      <c r="L127" s="4" t="s">
        <v>468</v>
      </c>
      <c r="M127" s="4" t="s">
        <v>346</v>
      </c>
      <c r="N127" s="9">
        <v>0.94410000000000005</v>
      </c>
      <c r="O127" s="9">
        <v>0.68899999999999995</v>
      </c>
      <c r="P127" s="4" t="s">
        <v>76</v>
      </c>
      <c r="Q127" s="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42" customHeight="1">
      <c r="A128" s="4" t="s">
        <v>349</v>
      </c>
      <c r="B128" s="4" t="s">
        <v>345</v>
      </c>
      <c r="C128" s="4" t="s">
        <v>350</v>
      </c>
      <c r="D128" s="17" t="str">
        <f>IFERROR(VLOOKUP(A128,翻译清单!$A$6:$L$155,3,FALSE),"")</f>
        <v>影片</v>
      </c>
      <c r="E128" s="8">
        <v>1</v>
      </c>
      <c r="F128" s="8">
        <v>1080</v>
      </c>
      <c r="G128" s="8">
        <v>761</v>
      </c>
      <c r="H128" s="8">
        <v>111</v>
      </c>
      <c r="I128" s="8">
        <v>26</v>
      </c>
      <c r="J128" s="8">
        <v>21</v>
      </c>
      <c r="K128" s="4" t="s">
        <v>216</v>
      </c>
      <c r="L128" s="4" t="s">
        <v>528</v>
      </c>
      <c r="M128" s="4" t="s">
        <v>346</v>
      </c>
      <c r="N128" s="9">
        <v>0.99909999999999999</v>
      </c>
      <c r="O128" s="9">
        <v>1</v>
      </c>
      <c r="P128" s="4" t="s">
        <v>71</v>
      </c>
      <c r="Q128" s="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42" customHeight="1">
      <c r="A129" s="4" t="s">
        <v>351</v>
      </c>
      <c r="B129" s="4" t="s">
        <v>345</v>
      </c>
      <c r="C129" s="4" t="s">
        <v>352</v>
      </c>
      <c r="D129" s="17" t="str">
        <f>IFERROR(VLOOKUP(A129,翻译清单!$A$6:$L$155,3,FALSE),"")</f>
        <v>跳过语音</v>
      </c>
      <c r="E129" s="8">
        <v>1</v>
      </c>
      <c r="F129" s="8">
        <v>888</v>
      </c>
      <c r="G129" s="8">
        <v>675</v>
      </c>
      <c r="H129" s="8">
        <v>282</v>
      </c>
      <c r="I129" s="8">
        <v>31</v>
      </c>
      <c r="J129" s="8">
        <v>25</v>
      </c>
      <c r="K129" s="4" t="s">
        <v>216</v>
      </c>
      <c r="L129" s="4" t="s">
        <v>527</v>
      </c>
      <c r="M129" s="4" t="s">
        <v>346</v>
      </c>
      <c r="N129" s="9">
        <v>0.99039999999999995</v>
      </c>
      <c r="O129" s="9">
        <v>0.88300000000000001</v>
      </c>
      <c r="P129" s="4" t="s">
        <v>71</v>
      </c>
      <c r="Q129" s="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42" customHeight="1">
      <c r="A130" s="4" t="s">
        <v>353</v>
      </c>
      <c r="B130" s="4" t="s">
        <v>345</v>
      </c>
      <c r="C130" s="4" t="s">
        <v>354</v>
      </c>
      <c r="D130" s="17" t="str">
        <f>IFERROR(VLOOKUP(A130,翻译清单!$A$6:$L$155,3,FALSE),"")</f>
        <v>降低BGM音量</v>
      </c>
      <c r="E130" s="8">
        <v>1</v>
      </c>
      <c r="F130" s="8">
        <v>887</v>
      </c>
      <c r="G130" s="8">
        <v>757</v>
      </c>
      <c r="H130" s="8">
        <v>172</v>
      </c>
      <c r="I130" s="8">
        <v>29</v>
      </c>
      <c r="J130" s="8">
        <v>24</v>
      </c>
      <c r="K130" s="4" t="s">
        <v>216</v>
      </c>
      <c r="L130" s="4" t="s">
        <v>529</v>
      </c>
      <c r="M130" s="4" t="s">
        <v>346</v>
      </c>
      <c r="N130" s="9">
        <v>0.999</v>
      </c>
      <c r="O130" s="9">
        <v>1</v>
      </c>
      <c r="P130" s="4" t="s">
        <v>71</v>
      </c>
      <c r="Q130" s="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42" customHeight="1">
      <c r="A131" s="4" t="s">
        <v>355</v>
      </c>
      <c r="B131" s="4" t="s">
        <v>345</v>
      </c>
      <c r="C131" s="4" t="s">
        <v>356</v>
      </c>
      <c r="D131" s="17" t="str">
        <f>IFERROR(VLOOKUP(A131,翻译清单!$A$6:$L$155,3,FALSE),"")</f>
        <v>角色语音</v>
      </c>
      <c r="E131" s="8">
        <v>1</v>
      </c>
      <c r="F131" s="8">
        <v>888</v>
      </c>
      <c r="G131" s="8">
        <v>675</v>
      </c>
      <c r="H131" s="8">
        <v>282</v>
      </c>
      <c r="I131" s="8">
        <v>31</v>
      </c>
      <c r="J131" s="8">
        <v>25</v>
      </c>
      <c r="K131" s="4" t="s">
        <v>216</v>
      </c>
      <c r="L131" s="4" t="s">
        <v>527</v>
      </c>
      <c r="M131" s="4" t="s">
        <v>346</v>
      </c>
      <c r="N131" s="9">
        <v>0.99039999999999995</v>
      </c>
      <c r="O131" s="9">
        <v>0.33300000000000002</v>
      </c>
      <c r="P131" s="4" t="s">
        <v>357</v>
      </c>
      <c r="Q131" s="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2" customHeight="1">
      <c r="A132" s="4" t="s">
        <v>358</v>
      </c>
      <c r="B132" s="4" t="s">
        <v>345</v>
      </c>
      <c r="C132" s="4" t="s">
        <v>359</v>
      </c>
      <c r="D132" s="17" t="str">
        <f>IFERROR(VLOOKUP(A132,翻译清单!$A$6:$L$155,3,FALSE),"")</f>
        <v>系统语音</v>
      </c>
      <c r="E132" s="8">
        <v>1</v>
      </c>
      <c r="F132" s="8">
        <v>888</v>
      </c>
      <c r="G132" s="8">
        <v>675</v>
      </c>
      <c r="H132" s="8">
        <v>282</v>
      </c>
      <c r="I132" s="8">
        <v>31</v>
      </c>
      <c r="J132" s="8">
        <v>25</v>
      </c>
      <c r="K132" s="4" t="s">
        <v>216</v>
      </c>
      <c r="L132" s="4" t="s">
        <v>527</v>
      </c>
      <c r="M132" s="4" t="s">
        <v>346</v>
      </c>
      <c r="N132" s="9">
        <v>0.99039999999999995</v>
      </c>
      <c r="O132" s="9">
        <v>0.375</v>
      </c>
      <c r="P132" s="4" t="s">
        <v>357</v>
      </c>
      <c r="Q132" s="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42" customHeight="1">
      <c r="A133" s="4" t="s">
        <v>360</v>
      </c>
      <c r="B133" s="4" t="s">
        <v>345</v>
      </c>
      <c r="C133" s="4" t="s">
        <v>361</v>
      </c>
      <c r="D133" s="17" t="str">
        <f>IFERROR(VLOOKUP(A133,翻译清单!$A$6:$L$155,3,FALSE),"")</f>
        <v>其他（女性）</v>
      </c>
      <c r="E133" s="8">
        <v>1</v>
      </c>
      <c r="F133" s="8">
        <v>886</v>
      </c>
      <c r="G133" s="8">
        <v>701</v>
      </c>
      <c r="H133" s="8">
        <v>180</v>
      </c>
      <c r="I133" s="8">
        <v>33</v>
      </c>
      <c r="J133" s="8">
        <v>27</v>
      </c>
      <c r="K133" s="4" t="s">
        <v>216</v>
      </c>
      <c r="L133" s="4" t="s">
        <v>527</v>
      </c>
      <c r="M133" s="4" t="s">
        <v>346</v>
      </c>
      <c r="N133" s="9">
        <v>0.92120000000000002</v>
      </c>
      <c r="O133" s="9">
        <v>1</v>
      </c>
      <c r="P133" s="4" t="s">
        <v>76</v>
      </c>
      <c r="Q133" s="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42" customHeight="1">
      <c r="A134" s="4" t="s">
        <v>362</v>
      </c>
      <c r="B134" s="4" t="s">
        <v>345</v>
      </c>
      <c r="C134" s="4" t="s">
        <v>363</v>
      </c>
      <c r="D134" s="17" t="str">
        <f>IFERROR(VLOOKUP(A134,翻译清单!$A$6:$L$155,3,FALSE),"")</f>
        <v>其他（男性）</v>
      </c>
      <c r="E134" s="8">
        <v>1</v>
      </c>
      <c r="F134" s="8">
        <v>885</v>
      </c>
      <c r="G134" s="8">
        <v>724</v>
      </c>
      <c r="H134" s="8">
        <v>188</v>
      </c>
      <c r="I134" s="8">
        <v>39</v>
      </c>
      <c r="J134" s="8">
        <v>32</v>
      </c>
      <c r="K134" s="4" t="s">
        <v>216</v>
      </c>
      <c r="L134" s="4" t="s">
        <v>530</v>
      </c>
      <c r="M134" s="4" t="s">
        <v>346</v>
      </c>
      <c r="N134" s="9">
        <v>0.9173</v>
      </c>
      <c r="O134" s="9">
        <v>1</v>
      </c>
      <c r="P134" s="4" t="s">
        <v>76</v>
      </c>
      <c r="Q134" s="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2" customHeight="1">
      <c r="A135" s="4" t="s">
        <v>364</v>
      </c>
      <c r="B135" s="4" t="s">
        <v>345</v>
      </c>
      <c r="C135" s="4" t="s">
        <v>365</v>
      </c>
      <c r="D135" s="17" t="str">
        <f>IFERROR(VLOOKUP(A135,翻译清单!$A$6:$L$155,3,FALSE),"")</f>
        <v>秋穗</v>
      </c>
      <c r="E135" s="8">
        <v>1</v>
      </c>
      <c r="F135" s="8">
        <v>1191</v>
      </c>
      <c r="G135" s="8">
        <v>743</v>
      </c>
      <c r="H135" s="8">
        <v>65</v>
      </c>
      <c r="I135" s="8">
        <v>35</v>
      </c>
      <c r="J135" s="8">
        <v>29</v>
      </c>
      <c r="K135" s="4" t="s">
        <v>216</v>
      </c>
      <c r="L135" s="4" t="s">
        <v>472</v>
      </c>
      <c r="M135" s="4" t="s">
        <v>346</v>
      </c>
      <c r="N135" s="9">
        <v>0.73850000000000005</v>
      </c>
      <c r="O135" s="9">
        <v>0.5</v>
      </c>
      <c r="P135" s="4" t="s">
        <v>357</v>
      </c>
      <c r="Q135" s="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42" customHeight="1">
      <c r="A136" s="4" t="s">
        <v>366</v>
      </c>
      <c r="B136" s="4" t="s">
        <v>345</v>
      </c>
      <c r="C136" s="4" t="s">
        <v>367</v>
      </c>
      <c r="D136" s="17" t="str">
        <f>IFERROR(VLOOKUP(A136,翻译清单!$A$6:$L$155,3,FALSE),"")</f>
        <v>绘利</v>
      </c>
      <c r="E136" s="8">
        <v>1</v>
      </c>
      <c r="F136" s="8">
        <v>1010</v>
      </c>
      <c r="G136" s="8">
        <v>1241</v>
      </c>
      <c r="H136" s="8">
        <v>115</v>
      </c>
      <c r="I136" s="8">
        <v>34</v>
      </c>
      <c r="J136" s="8">
        <v>28</v>
      </c>
      <c r="K136" s="4" t="s">
        <v>216</v>
      </c>
      <c r="L136" s="4" t="s">
        <v>531</v>
      </c>
      <c r="M136" s="4" t="s">
        <v>346</v>
      </c>
      <c r="N136" s="9">
        <v>0.9546</v>
      </c>
      <c r="O136" s="9">
        <v>0.82499999999999996</v>
      </c>
      <c r="P136" s="4" t="s">
        <v>71</v>
      </c>
      <c r="Q136" s="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42" customHeight="1">
      <c r="A137" s="4" t="s">
        <v>368</v>
      </c>
      <c r="B137" s="4" t="s">
        <v>345</v>
      </c>
      <c r="C137" s="4" t="s">
        <v>369</v>
      </c>
      <c r="D137" s="17" t="str">
        <f>IFERROR(VLOOKUP(A137,翻译清单!$A$6:$L$155,3,FALSE),"")</f>
        <v>春香</v>
      </c>
      <c r="E137" s="8">
        <v>1</v>
      </c>
      <c r="F137" s="8">
        <v>1192</v>
      </c>
      <c r="G137" s="8">
        <v>771</v>
      </c>
      <c r="H137" s="8">
        <v>63</v>
      </c>
      <c r="I137" s="8">
        <v>30</v>
      </c>
      <c r="J137" s="8">
        <v>25</v>
      </c>
      <c r="K137" s="4" t="s">
        <v>216</v>
      </c>
      <c r="L137" s="4" t="s">
        <v>468</v>
      </c>
      <c r="M137" s="4" t="s">
        <v>346</v>
      </c>
      <c r="N137" s="9">
        <v>0.94920000000000004</v>
      </c>
      <c r="O137" s="9">
        <v>1</v>
      </c>
      <c r="P137" s="4" t="s">
        <v>71</v>
      </c>
      <c r="Q137" s="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2" customHeight="1">
      <c r="A138" s="4" t="s">
        <v>370</v>
      </c>
      <c r="B138" s="4" t="s">
        <v>345</v>
      </c>
      <c r="C138" s="4" t="s">
        <v>371</v>
      </c>
      <c r="D138" s="17" t="str">
        <f>IFERROR(VLOOKUP(A138,翻译清单!$A$6:$L$155,3,FALSE),"")</f>
        <v>美世</v>
      </c>
      <c r="E138" s="8">
        <v>1</v>
      </c>
      <c r="F138" s="8">
        <v>1010</v>
      </c>
      <c r="G138" s="8">
        <v>1241</v>
      </c>
      <c r="H138" s="8">
        <v>115</v>
      </c>
      <c r="I138" s="8">
        <v>34</v>
      </c>
      <c r="J138" s="8">
        <v>28</v>
      </c>
      <c r="K138" s="4" t="s">
        <v>216</v>
      </c>
      <c r="L138" s="4" t="s">
        <v>531</v>
      </c>
      <c r="M138" s="4" t="s">
        <v>346</v>
      </c>
      <c r="N138" s="9">
        <v>0.9546</v>
      </c>
      <c r="O138" s="9">
        <v>0.82499999999999996</v>
      </c>
      <c r="P138" s="4" t="s">
        <v>71</v>
      </c>
      <c r="Q138" s="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2" customHeight="1">
      <c r="A139" s="4" t="s">
        <v>372</v>
      </c>
      <c r="B139" s="4" t="s">
        <v>345</v>
      </c>
      <c r="C139" s="4" t="s">
        <v>373</v>
      </c>
      <c r="D139" s="17" t="str">
        <f>IFERROR(VLOOKUP(A139,翻译清单!$A$6:$L$155,3,FALSE),"")</f>
        <v>风花</v>
      </c>
      <c r="E139" s="8">
        <v>1</v>
      </c>
      <c r="F139" s="8">
        <v>887</v>
      </c>
      <c r="G139" s="8">
        <v>1240</v>
      </c>
      <c r="H139" s="8">
        <v>108</v>
      </c>
      <c r="I139" s="8">
        <v>36</v>
      </c>
      <c r="J139" s="8">
        <v>30</v>
      </c>
      <c r="K139" s="4" t="s">
        <v>216</v>
      </c>
      <c r="L139" s="4" t="s">
        <v>532</v>
      </c>
      <c r="M139" s="4" t="s">
        <v>346</v>
      </c>
      <c r="N139" s="9">
        <v>0.94789999999999996</v>
      </c>
      <c r="O139" s="9">
        <v>0.88300000000000001</v>
      </c>
      <c r="P139" s="4" t="s">
        <v>71</v>
      </c>
      <c r="Q139" s="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2" customHeight="1">
      <c r="A140" s="4" t="s">
        <v>374</v>
      </c>
      <c r="B140" s="4" t="s">
        <v>345</v>
      </c>
      <c r="C140" s="4" t="s">
        <v>375</v>
      </c>
      <c r="D140" s="17" t="str">
        <f>IFERROR(VLOOKUP(A140,翻译清单!$A$6:$L$155,3,FALSE),"")</f>
        <v>全部</v>
      </c>
      <c r="E140" s="8">
        <v>1</v>
      </c>
      <c r="F140" s="8">
        <v>1196</v>
      </c>
      <c r="G140" s="8">
        <v>697</v>
      </c>
      <c r="H140" s="8">
        <v>57</v>
      </c>
      <c r="I140" s="8">
        <v>28</v>
      </c>
      <c r="J140" s="8">
        <v>23</v>
      </c>
      <c r="K140" s="4" t="s">
        <v>216</v>
      </c>
      <c r="L140" s="4" t="s">
        <v>468</v>
      </c>
      <c r="M140" s="4" t="s">
        <v>346</v>
      </c>
      <c r="N140" s="9">
        <v>0.99909999999999999</v>
      </c>
      <c r="O140" s="9">
        <v>1</v>
      </c>
      <c r="P140" s="4" t="s">
        <v>71</v>
      </c>
      <c r="Q140" s="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2" customHeight="1">
      <c r="A141" s="4" t="s">
        <v>115</v>
      </c>
      <c r="B141" s="4" t="s">
        <v>345</v>
      </c>
      <c r="C141" s="4" t="s">
        <v>116</v>
      </c>
      <c r="D141" s="17" t="str">
        <f>IFERROR(VLOOKUP(A141,翻译清单!$A$6:$L$155,3,FALSE),"")</f>
        <v>开</v>
      </c>
      <c r="E141" s="8">
        <v>3</v>
      </c>
      <c r="F141" s="8">
        <v>1186</v>
      </c>
      <c r="G141" s="8">
        <v>1202</v>
      </c>
      <c r="H141" s="8">
        <v>40</v>
      </c>
      <c r="I141" s="8">
        <v>24</v>
      </c>
      <c r="J141" s="8">
        <v>20</v>
      </c>
      <c r="K141" s="4" t="s">
        <v>216</v>
      </c>
      <c r="L141" s="4" t="s">
        <v>474</v>
      </c>
      <c r="M141" s="4" t="s">
        <v>346</v>
      </c>
      <c r="N141" s="9">
        <v>0.99990000000000001</v>
      </c>
      <c r="O141" s="9">
        <v>1</v>
      </c>
      <c r="P141" s="4" t="s">
        <v>71</v>
      </c>
      <c r="Q141" s="4" t="s">
        <v>109</v>
      </c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42" customHeight="1">
      <c r="A142" s="4" t="s">
        <v>121</v>
      </c>
      <c r="B142" s="4" t="s">
        <v>345</v>
      </c>
      <c r="C142" s="4" t="s">
        <v>122</v>
      </c>
      <c r="D142" s="17" t="str">
        <f>IFERROR(VLOOKUP(A142,翻译清单!$A$6:$L$155,3,FALSE),"")</f>
        <v>关闭</v>
      </c>
      <c r="E142" s="8">
        <v>3</v>
      </c>
      <c r="F142" s="8">
        <v>1136</v>
      </c>
      <c r="G142" s="8">
        <v>738</v>
      </c>
      <c r="H142" s="8">
        <v>61</v>
      </c>
      <c r="I142" s="8">
        <v>29</v>
      </c>
      <c r="J142" s="8">
        <v>24</v>
      </c>
      <c r="K142" s="4" t="s">
        <v>216</v>
      </c>
      <c r="L142" s="4" t="s">
        <v>518</v>
      </c>
      <c r="M142" s="4" t="s">
        <v>346</v>
      </c>
      <c r="N142" s="9">
        <v>0.99970000000000003</v>
      </c>
      <c r="O142" s="9">
        <v>1</v>
      </c>
      <c r="P142" s="4" t="s">
        <v>71</v>
      </c>
      <c r="Q142" s="4" t="s">
        <v>109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2" customHeight="1">
      <c r="A143" s="4" t="s">
        <v>376</v>
      </c>
      <c r="B143" s="4" t="s">
        <v>378</v>
      </c>
      <c r="C143" s="4" t="s">
        <v>377</v>
      </c>
      <c r="D143" s="17" t="str">
        <f>IFERROR(VLOOKUP(A143,翻译清单!$A$6:$L$155,3,FALSE),"")</f>
        <v>场景跳转（回顾日志）</v>
      </c>
      <c r="E143" s="8">
        <v>1</v>
      </c>
      <c r="F143" s="8">
        <v>15</v>
      </c>
      <c r="G143" s="8">
        <v>1</v>
      </c>
      <c r="H143" s="8">
        <v>387</v>
      </c>
      <c r="I143" s="8">
        <v>29</v>
      </c>
      <c r="J143" s="8">
        <v>24</v>
      </c>
      <c r="K143" s="4" t="s">
        <v>216</v>
      </c>
      <c r="L143" s="4" t="s">
        <v>468</v>
      </c>
      <c r="M143" s="4" t="s">
        <v>379</v>
      </c>
      <c r="N143" s="9">
        <v>0.93079999999999996</v>
      </c>
      <c r="O143" s="9">
        <v>0.91700000000000004</v>
      </c>
      <c r="P143" s="4" t="s">
        <v>76</v>
      </c>
      <c r="Q143" s="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42" customHeight="1">
      <c r="A144" s="4" t="s">
        <v>380</v>
      </c>
      <c r="B144" s="4" t="s">
        <v>378</v>
      </c>
      <c r="C144" s="4" t="s">
        <v>381</v>
      </c>
      <c r="D144" s="17" t="str">
        <f>IFERROR(VLOOKUP(A144,翻译清单!$A$6:$L$155,3,FALSE),"")</f>
        <v>从挂起状态恢复</v>
      </c>
      <c r="E144" s="8">
        <v>1</v>
      </c>
      <c r="F144" s="8">
        <v>0</v>
      </c>
      <c r="G144" s="8">
        <v>59</v>
      </c>
      <c r="H144" s="8">
        <v>321</v>
      </c>
      <c r="I144" s="8">
        <v>35</v>
      </c>
      <c r="J144" s="8">
        <v>29</v>
      </c>
      <c r="K144" s="4" t="s">
        <v>216</v>
      </c>
      <c r="L144" s="4" t="s">
        <v>468</v>
      </c>
      <c r="M144" s="4" t="s">
        <v>379</v>
      </c>
      <c r="N144" s="9">
        <v>0.93310000000000004</v>
      </c>
      <c r="O144" s="9">
        <v>0.95599999999999996</v>
      </c>
      <c r="P144" s="4" t="s">
        <v>76</v>
      </c>
      <c r="Q144" s="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42" customHeight="1">
      <c r="A145" s="4" t="s">
        <v>161</v>
      </c>
      <c r="B145" s="4" t="s">
        <v>378</v>
      </c>
      <c r="C145" s="4" t="s">
        <v>162</v>
      </c>
      <c r="D145" s="17" t="str">
        <f>IFERROR(VLOOKUP(A145,翻译清单!$A$6:$L$155,3,FALSE),"")</f>
        <v>数据替换</v>
      </c>
      <c r="E145" s="8">
        <v>1</v>
      </c>
      <c r="F145" s="8">
        <v>0</v>
      </c>
      <c r="G145" s="8">
        <v>87</v>
      </c>
      <c r="H145" s="8">
        <v>231</v>
      </c>
      <c r="I145" s="8">
        <v>39</v>
      </c>
      <c r="J145" s="8">
        <v>32</v>
      </c>
      <c r="K145" s="4" t="s">
        <v>216</v>
      </c>
      <c r="L145" s="4" t="s">
        <v>468</v>
      </c>
      <c r="M145" s="4" t="s">
        <v>379</v>
      </c>
      <c r="N145" s="9">
        <v>0.97119999999999995</v>
      </c>
      <c r="O145" s="9">
        <v>1</v>
      </c>
      <c r="P145" s="4" t="s">
        <v>71</v>
      </c>
      <c r="Q145" s="4" t="s">
        <v>109</v>
      </c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42" customHeight="1">
      <c r="A146" s="4" t="s">
        <v>382</v>
      </c>
      <c r="B146" s="4" t="s">
        <v>378</v>
      </c>
      <c r="C146" s="4" t="s">
        <v>383</v>
      </c>
      <c r="D146" s="17" t="str">
        <f>IFERROR(VLOOKUP(A146,翻译清单!$A$6:$L$155,3,FALSE),"")</f>
        <v>删除数据</v>
      </c>
      <c r="E146" s="8">
        <v>1</v>
      </c>
      <c r="F146" s="8">
        <v>0</v>
      </c>
      <c r="G146" s="8">
        <v>87</v>
      </c>
      <c r="H146" s="8">
        <v>231</v>
      </c>
      <c r="I146" s="8">
        <v>39</v>
      </c>
      <c r="J146" s="8">
        <v>32</v>
      </c>
      <c r="K146" s="4" t="s">
        <v>216</v>
      </c>
      <c r="L146" s="4" t="s">
        <v>468</v>
      </c>
      <c r="M146" s="4" t="s">
        <v>379</v>
      </c>
      <c r="N146" s="9">
        <v>0.97119999999999995</v>
      </c>
      <c r="O146" s="9">
        <v>0.5</v>
      </c>
      <c r="P146" s="4" t="s">
        <v>357</v>
      </c>
      <c r="Q146" s="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42" customHeight="1">
      <c r="A147" s="4" t="s">
        <v>233</v>
      </c>
      <c r="B147" s="4" t="s">
        <v>378</v>
      </c>
      <c r="C147" s="4" t="s">
        <v>234</v>
      </c>
      <c r="D147" s="17" t="str">
        <f>IFERROR(VLOOKUP(A147,翻译清单!$A$6:$L$155,3,FALSE),"")</f>
        <v>快速保存</v>
      </c>
      <c r="E147" s="8">
        <v>1</v>
      </c>
      <c r="F147" s="8">
        <v>1</v>
      </c>
      <c r="G147" s="8">
        <v>121</v>
      </c>
      <c r="H147" s="8">
        <v>226</v>
      </c>
      <c r="I147" s="8">
        <v>35</v>
      </c>
      <c r="J147" s="8">
        <v>29</v>
      </c>
      <c r="K147" s="4" t="s">
        <v>216</v>
      </c>
      <c r="L147" s="4" t="s">
        <v>468</v>
      </c>
      <c r="M147" s="4" t="s">
        <v>379</v>
      </c>
      <c r="N147" s="9">
        <v>0.97060000000000002</v>
      </c>
      <c r="O147" s="9">
        <v>1</v>
      </c>
      <c r="P147" s="4" t="s">
        <v>71</v>
      </c>
      <c r="Q147" s="4" t="s">
        <v>109</v>
      </c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42" customHeight="1">
      <c r="A148" s="4" t="s">
        <v>145</v>
      </c>
      <c r="B148" s="4" t="s">
        <v>378</v>
      </c>
      <c r="C148" s="4" t="s">
        <v>146</v>
      </c>
      <c r="D148" s="17" t="str">
        <f>IFERROR(VLOOKUP(A148,翻译清单!$A$6:$L$155,3,FALSE),"")</f>
        <v>快速读取</v>
      </c>
      <c r="E148" s="8">
        <v>1</v>
      </c>
      <c r="F148" s="8">
        <v>0</v>
      </c>
      <c r="G148" s="8">
        <v>143</v>
      </c>
      <c r="H148" s="8">
        <v>229</v>
      </c>
      <c r="I148" s="8">
        <v>43</v>
      </c>
      <c r="J148" s="8">
        <v>35</v>
      </c>
      <c r="K148" s="4" t="s">
        <v>216</v>
      </c>
      <c r="L148" s="4" t="s">
        <v>468</v>
      </c>
      <c r="M148" s="4" t="s">
        <v>379</v>
      </c>
      <c r="N148" s="9">
        <v>0.94469999999999998</v>
      </c>
      <c r="O148" s="9">
        <v>0.85699999999999998</v>
      </c>
      <c r="P148" s="4" t="s">
        <v>71</v>
      </c>
      <c r="Q148" s="4" t="s">
        <v>109</v>
      </c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2" customHeight="1">
      <c r="A149" s="4" t="s">
        <v>229</v>
      </c>
      <c r="B149" s="4" t="s">
        <v>378</v>
      </c>
      <c r="C149" s="4" t="s">
        <v>230</v>
      </c>
      <c r="D149" s="17" t="str">
        <f>IFERROR(VLOOKUP(A149,翻译清单!$A$6:$L$155,3,FALSE),"")</f>
        <v>返回标题画面</v>
      </c>
      <c r="E149" s="8">
        <v>2</v>
      </c>
      <c r="F149" s="8">
        <v>1</v>
      </c>
      <c r="G149" s="8">
        <v>177</v>
      </c>
      <c r="H149" s="8">
        <v>226</v>
      </c>
      <c r="I149" s="8">
        <v>33</v>
      </c>
      <c r="J149" s="8">
        <v>27</v>
      </c>
      <c r="K149" s="4" t="s">
        <v>216</v>
      </c>
      <c r="L149" s="4" t="s">
        <v>468</v>
      </c>
      <c r="M149" s="4" t="s">
        <v>379</v>
      </c>
      <c r="N149" s="9">
        <v>0.997</v>
      </c>
      <c r="O149" s="9">
        <v>1</v>
      </c>
      <c r="P149" s="4" t="s">
        <v>71</v>
      </c>
      <c r="Q149" s="4" t="s">
        <v>109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42" customHeight="1">
      <c r="A150" s="4" t="s">
        <v>384</v>
      </c>
      <c r="B150" s="4" t="s">
        <v>378</v>
      </c>
      <c r="C150" s="4" t="s">
        <v>385</v>
      </c>
      <c r="D150" s="17" t="str">
        <f>IFERROR(VLOOKUP(A150,翻译清单!$A$6:$L$155,3,FALSE),"")</f>
        <v>保存（覆盖）</v>
      </c>
      <c r="E150" s="8">
        <v>1</v>
      </c>
      <c r="F150" s="8">
        <v>1</v>
      </c>
      <c r="G150" s="8">
        <v>207</v>
      </c>
      <c r="H150" s="8">
        <v>213</v>
      </c>
      <c r="I150" s="8">
        <v>33</v>
      </c>
      <c r="J150" s="8">
        <v>27</v>
      </c>
      <c r="K150" s="4" t="s">
        <v>216</v>
      </c>
      <c r="L150" s="4" t="s">
        <v>468</v>
      </c>
      <c r="M150" s="4" t="s">
        <v>379</v>
      </c>
      <c r="N150" s="9">
        <v>0.96950000000000003</v>
      </c>
      <c r="O150" s="9">
        <v>1</v>
      </c>
      <c r="P150" s="4" t="s">
        <v>71</v>
      </c>
      <c r="Q150" s="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2" customHeight="1">
      <c r="A151" s="4" t="s">
        <v>115</v>
      </c>
      <c r="B151" s="4" t="s">
        <v>378</v>
      </c>
      <c r="C151" s="4" t="s">
        <v>116</v>
      </c>
      <c r="D151" s="17" t="str">
        <f>IFERROR(VLOOKUP(A151,翻译清单!$A$6:$L$155,3,FALSE),"")</f>
        <v>开</v>
      </c>
      <c r="E151" s="8">
        <v>3</v>
      </c>
      <c r="F151" s="8">
        <v>370</v>
      </c>
      <c r="G151" s="8">
        <v>177</v>
      </c>
      <c r="H151" s="8">
        <v>48</v>
      </c>
      <c r="I151" s="8">
        <v>31</v>
      </c>
      <c r="J151" s="8">
        <v>25</v>
      </c>
      <c r="K151" s="4" t="s">
        <v>216</v>
      </c>
      <c r="L151" s="4" t="s">
        <v>474</v>
      </c>
      <c r="M151" s="4" t="s">
        <v>379</v>
      </c>
      <c r="N151" s="9">
        <v>1</v>
      </c>
      <c r="O151" s="9">
        <v>1</v>
      </c>
      <c r="P151" s="4" t="s">
        <v>71</v>
      </c>
      <c r="Q151" s="4" t="s">
        <v>109</v>
      </c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42" customHeight="1">
      <c r="A152" s="4" t="s">
        <v>121</v>
      </c>
      <c r="B152" s="4" t="s">
        <v>378</v>
      </c>
      <c r="C152" s="4" t="s">
        <v>122</v>
      </c>
      <c r="D152" s="17" t="str">
        <f>IFERROR(VLOOKUP(A152,翻译清单!$A$6:$L$155,3,FALSE),"")</f>
        <v>关闭</v>
      </c>
      <c r="E152" s="8">
        <v>1</v>
      </c>
      <c r="F152" s="8">
        <v>357</v>
      </c>
      <c r="G152" s="8">
        <v>75</v>
      </c>
      <c r="H152" s="8">
        <v>26</v>
      </c>
      <c r="I152" s="8">
        <v>19</v>
      </c>
      <c r="J152" s="8">
        <v>16</v>
      </c>
      <c r="K152" s="4" t="s">
        <v>216</v>
      </c>
      <c r="L152" s="4" t="s">
        <v>483</v>
      </c>
      <c r="M152" s="4" t="s">
        <v>379</v>
      </c>
      <c r="N152" s="9">
        <v>0.99939999999999996</v>
      </c>
      <c r="O152" s="9">
        <v>0.76700000000000002</v>
      </c>
      <c r="P152" s="4" t="s">
        <v>76</v>
      </c>
      <c r="Q152" s="4" t="s">
        <v>109</v>
      </c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2" customHeight="1">
      <c r="A153" s="4" t="s">
        <v>386</v>
      </c>
      <c r="B153" s="4" t="s">
        <v>388</v>
      </c>
      <c r="C153" s="4" t="s">
        <v>387</v>
      </c>
      <c r="D153" s="17" t="str">
        <f>IFERROR(VLOOKUP(A153,翻译清单!$A$6:$L$155,3,FALSE),"")</f>
        <v>在冒险画面中按住鼠标右键并向上下左右移动鼠标，即可执行对应功能。</v>
      </c>
      <c r="E153" s="8">
        <v>1</v>
      </c>
      <c r="F153" s="8">
        <v>0</v>
      </c>
      <c r="G153" s="8">
        <v>429</v>
      </c>
      <c r="H153" s="8">
        <v>583</v>
      </c>
      <c r="I153" s="8">
        <v>22</v>
      </c>
      <c r="J153" s="8">
        <v>18</v>
      </c>
      <c r="K153" s="4" t="s">
        <v>389</v>
      </c>
      <c r="L153" s="4" t="s">
        <v>533</v>
      </c>
      <c r="M153" s="4" t="s">
        <v>390</v>
      </c>
      <c r="N153" s="9">
        <v>0.99760000000000004</v>
      </c>
      <c r="O153" s="9">
        <v>0.85399999999999998</v>
      </c>
      <c r="P153" s="4" t="s">
        <v>71</v>
      </c>
      <c r="Q153" s="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42" customHeight="1">
      <c r="A154" s="4" t="s">
        <v>391</v>
      </c>
      <c r="B154" s="4" t="s">
        <v>388</v>
      </c>
      <c r="C154" s="4" t="s">
        <v>392</v>
      </c>
      <c r="D154" s="17" t="str">
        <f>IFERROR(VLOOKUP(A154,翻译清单!$A$6:$L$155,3,FALSE),"")</f>
        <v>点击下拉菜单（▼）可更改手势项目。</v>
      </c>
      <c r="E154" s="8">
        <v>1</v>
      </c>
      <c r="F154" s="8">
        <v>0</v>
      </c>
      <c r="G154" s="8">
        <v>520</v>
      </c>
      <c r="H154" s="8">
        <v>130</v>
      </c>
      <c r="I154" s="8">
        <v>21</v>
      </c>
      <c r="J154" s="8">
        <v>17</v>
      </c>
      <c r="K154" s="4" t="s">
        <v>389</v>
      </c>
      <c r="L154" s="4" t="s">
        <v>534</v>
      </c>
      <c r="M154" s="4" t="s">
        <v>390</v>
      </c>
      <c r="N154" s="9">
        <v>0.99960000000000004</v>
      </c>
      <c r="O154" s="9">
        <v>0.71399999999999997</v>
      </c>
      <c r="P154" s="4" t="s">
        <v>76</v>
      </c>
      <c r="Q154" s="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42" customHeight="1">
      <c r="A155" s="4" t="s">
        <v>393</v>
      </c>
      <c r="B155" s="4" t="s">
        <v>388</v>
      </c>
      <c r="C155" s="4" t="s">
        <v>394</v>
      </c>
      <c r="D155" s="17" t="str">
        <f>IFERROR(VLOOKUP(A155,翻译清单!$A$6:$L$155,3,FALSE),"")</f>
        <v>长按右键显示当前设置</v>
      </c>
      <c r="E155" s="8">
        <v>1</v>
      </c>
      <c r="F155" s="8">
        <v>128</v>
      </c>
      <c r="G155" s="8">
        <v>540</v>
      </c>
      <c r="H155" s="8">
        <v>436</v>
      </c>
      <c r="I155" s="8">
        <v>30</v>
      </c>
      <c r="J155" s="8">
        <v>25</v>
      </c>
      <c r="K155" s="4" t="s">
        <v>389</v>
      </c>
      <c r="L155" s="4" t="s">
        <v>468</v>
      </c>
      <c r="M155" s="4" t="s">
        <v>390</v>
      </c>
      <c r="N155" s="9">
        <v>0.99870000000000003</v>
      </c>
      <c r="O155" s="9">
        <v>0.91800000000000004</v>
      </c>
      <c r="P155" s="4" t="s">
        <v>71</v>
      </c>
      <c r="Q155" s="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42" customHeight="1">
      <c r="A156" s="4" t="s">
        <v>395</v>
      </c>
      <c r="B156" s="4" t="s">
        <v>388</v>
      </c>
      <c r="C156" s="4" t="s">
        <v>396</v>
      </c>
      <c r="D156" s="17" t="str">
        <f>IFERROR(VLOOKUP(A156,翻译清单!$A$6:$L$155,3,FALSE),"")</f>
        <v>右键手势</v>
      </c>
      <c r="E156" s="8">
        <v>1</v>
      </c>
      <c r="F156" s="8">
        <v>584</v>
      </c>
      <c r="G156" s="8">
        <v>431</v>
      </c>
      <c r="H156" s="8">
        <v>323</v>
      </c>
      <c r="I156" s="8">
        <v>30</v>
      </c>
      <c r="J156" s="8">
        <v>25</v>
      </c>
      <c r="K156" s="4" t="s">
        <v>389</v>
      </c>
      <c r="L156" s="4" t="s">
        <v>468</v>
      </c>
      <c r="M156" s="4" t="s">
        <v>390</v>
      </c>
      <c r="N156" s="9">
        <v>0.99099999999999999</v>
      </c>
      <c r="O156" s="9">
        <v>0.96799999999999997</v>
      </c>
      <c r="P156" s="4" t="s">
        <v>71</v>
      </c>
      <c r="Q156" s="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42" customHeight="1">
      <c r="A157" s="4" t="s">
        <v>397</v>
      </c>
      <c r="B157" s="4" t="s">
        <v>388</v>
      </c>
      <c r="C157" s="4" t="s">
        <v>398</v>
      </c>
      <c r="D157" s="17" t="str">
        <f>IFERROR(VLOOKUP(A157,翻译清单!$A$6:$L$155,3,FALSE),"")</f>
        <v>手势功能</v>
      </c>
      <c r="E157" s="8">
        <v>1</v>
      </c>
      <c r="F157" s="8">
        <v>579</v>
      </c>
      <c r="G157" s="8">
        <v>458</v>
      </c>
      <c r="H157" s="8">
        <v>325</v>
      </c>
      <c r="I157" s="8">
        <v>36</v>
      </c>
      <c r="J157" s="8">
        <v>30</v>
      </c>
      <c r="K157" s="4" t="s">
        <v>389</v>
      </c>
      <c r="L157" s="4" t="s">
        <v>472</v>
      </c>
      <c r="M157" s="4" t="s">
        <v>390</v>
      </c>
      <c r="N157" s="9">
        <v>0.98629999999999995</v>
      </c>
      <c r="O157" s="9">
        <v>0.93</v>
      </c>
      <c r="P157" s="4" t="s">
        <v>71</v>
      </c>
      <c r="Q157" s="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42" customHeight="1">
      <c r="A158" s="4" t="s">
        <v>197</v>
      </c>
      <c r="B158" s="4" t="s">
        <v>388</v>
      </c>
      <c r="C158" s="4" t="s">
        <v>198</v>
      </c>
      <c r="D158" s="17" t="str">
        <f>IFERROR(VLOOKUP(A158,翻译清单!$A$6:$L$155,3,FALSE),"")</f>
        <v>剧情模式 开/关</v>
      </c>
      <c r="E158" s="8">
        <v>1</v>
      </c>
      <c r="F158" s="8">
        <v>0</v>
      </c>
      <c r="G158" s="8">
        <v>488</v>
      </c>
      <c r="H158" s="8">
        <v>839</v>
      </c>
      <c r="I158" s="8">
        <v>24</v>
      </c>
      <c r="J158" s="8">
        <v>20</v>
      </c>
      <c r="K158" s="4" t="s">
        <v>389</v>
      </c>
      <c r="L158" s="4" t="s">
        <v>535</v>
      </c>
      <c r="M158" s="4" t="s">
        <v>390</v>
      </c>
      <c r="N158" s="9">
        <v>0.97060000000000002</v>
      </c>
      <c r="O158" s="9">
        <v>0.77</v>
      </c>
      <c r="P158" s="4" t="s">
        <v>76</v>
      </c>
      <c r="Q158" s="4" t="s">
        <v>109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42" customHeight="1">
      <c r="A159" s="4" t="s">
        <v>202</v>
      </c>
      <c r="B159" s="4" t="s">
        <v>388</v>
      </c>
      <c r="C159" s="4" t="s">
        <v>203</v>
      </c>
      <c r="D159" s="17" t="str">
        <f>IFERROR(VLOOKUP(A159,翻译清单!$A$6:$L$155,3,FALSE),"")</f>
        <v>保存截图</v>
      </c>
      <c r="E159" s="8">
        <v>2</v>
      </c>
      <c r="F159" s="8">
        <v>579</v>
      </c>
      <c r="G159" s="8">
        <v>511</v>
      </c>
      <c r="H159" s="8">
        <v>211</v>
      </c>
      <c r="I159" s="8">
        <v>21</v>
      </c>
      <c r="J159" s="8">
        <v>17</v>
      </c>
      <c r="K159" s="4" t="s">
        <v>389</v>
      </c>
      <c r="L159" s="4" t="s">
        <v>518</v>
      </c>
      <c r="M159" s="4" t="s">
        <v>390</v>
      </c>
      <c r="N159" s="9">
        <v>0.99050000000000005</v>
      </c>
      <c r="O159" s="9">
        <v>1</v>
      </c>
      <c r="P159" s="4" t="s">
        <v>71</v>
      </c>
      <c r="Q159" s="4" t="s">
        <v>109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42" customHeight="1">
      <c r="A160" s="4" t="s">
        <v>208</v>
      </c>
      <c r="B160" s="4" t="s">
        <v>388</v>
      </c>
      <c r="C160" s="4" t="s">
        <v>209</v>
      </c>
      <c r="D160" s="17" t="str">
        <f>IFERROR(VLOOKUP(A160,翻译清单!$A$6:$L$155,3,FALSE),"")</f>
        <v>跳过文本</v>
      </c>
      <c r="E160" s="8">
        <v>1</v>
      </c>
      <c r="F160" s="8">
        <v>579</v>
      </c>
      <c r="G160" s="8">
        <v>532</v>
      </c>
      <c r="H160" s="8">
        <v>174</v>
      </c>
      <c r="I160" s="8">
        <v>21</v>
      </c>
      <c r="J160" s="8">
        <v>17</v>
      </c>
      <c r="K160" s="4" t="s">
        <v>389</v>
      </c>
      <c r="L160" s="4" t="s">
        <v>474</v>
      </c>
      <c r="M160" s="4" t="s">
        <v>390</v>
      </c>
      <c r="N160" s="9">
        <v>0.9798</v>
      </c>
      <c r="O160" s="9">
        <v>1</v>
      </c>
      <c r="P160" s="4" t="s">
        <v>71</v>
      </c>
      <c r="Q160" s="4" t="s">
        <v>109</v>
      </c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2" customHeight="1">
      <c r="A161" s="4" t="s">
        <v>218</v>
      </c>
      <c r="B161" s="4" t="s">
        <v>388</v>
      </c>
      <c r="C161" s="4" t="s">
        <v>219</v>
      </c>
      <c r="D161" s="17" t="str">
        <f>IFERROR(VLOOKUP(A161,翻译清单!$A$6:$L$155,3,FALSE),"")</f>
        <v>收藏语音</v>
      </c>
      <c r="E161" s="8">
        <v>1</v>
      </c>
      <c r="F161" s="8">
        <v>580</v>
      </c>
      <c r="G161" s="8">
        <v>550</v>
      </c>
      <c r="H161" s="8">
        <v>159</v>
      </c>
      <c r="I161" s="8">
        <v>20</v>
      </c>
      <c r="J161" s="8">
        <v>16</v>
      </c>
      <c r="K161" s="4" t="s">
        <v>389</v>
      </c>
      <c r="L161" s="4" t="s">
        <v>474</v>
      </c>
      <c r="M161" s="4" t="s">
        <v>390</v>
      </c>
      <c r="N161" s="9">
        <v>0.99380000000000002</v>
      </c>
      <c r="O161" s="9">
        <v>1</v>
      </c>
      <c r="P161" s="4" t="s">
        <v>71</v>
      </c>
      <c r="Q161" s="4" t="s">
        <v>109</v>
      </c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2" customHeight="1">
      <c r="A162" s="4" t="s">
        <v>227</v>
      </c>
      <c r="B162" s="4" t="s">
        <v>388</v>
      </c>
      <c r="C162" s="4" t="s">
        <v>228</v>
      </c>
      <c r="D162" s="17" t="str">
        <f>IFERROR(VLOOKUP(A162,翻译清单!$A$6:$L$155,3,FALSE),"")</f>
        <v>最小化游戏</v>
      </c>
      <c r="E162" s="8">
        <v>1</v>
      </c>
      <c r="F162" s="8">
        <v>580</v>
      </c>
      <c r="G162" s="8">
        <v>568</v>
      </c>
      <c r="H162" s="8">
        <v>140</v>
      </c>
      <c r="I162" s="8">
        <v>21</v>
      </c>
      <c r="J162" s="8">
        <v>17</v>
      </c>
      <c r="K162" s="4" t="s">
        <v>389</v>
      </c>
      <c r="L162" s="4" t="s">
        <v>474</v>
      </c>
      <c r="M162" s="4" t="s">
        <v>390</v>
      </c>
      <c r="N162" s="9">
        <v>0.99729999999999996</v>
      </c>
      <c r="O162" s="9">
        <v>1</v>
      </c>
      <c r="P162" s="4" t="s">
        <v>71</v>
      </c>
      <c r="Q162" s="4" t="s">
        <v>109</v>
      </c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2" customHeight="1">
      <c r="A163" s="4" t="s">
        <v>204</v>
      </c>
      <c r="B163" s="4" t="s">
        <v>388</v>
      </c>
      <c r="C163" s="4" t="s">
        <v>205</v>
      </c>
      <c r="D163" s="17" t="str">
        <f>IFERROR(VLOOKUP(A163,翻译清单!$A$6:$L$155,3,FALSE),"")</f>
        <v>回溯记录</v>
      </c>
      <c r="E163" s="8">
        <v>2</v>
      </c>
      <c r="F163" s="8">
        <v>0</v>
      </c>
      <c r="G163" s="8">
        <v>567</v>
      </c>
      <c r="H163" s="8">
        <v>98</v>
      </c>
      <c r="I163" s="8">
        <v>23</v>
      </c>
      <c r="J163" s="8">
        <v>19</v>
      </c>
      <c r="K163" s="4" t="s">
        <v>389</v>
      </c>
      <c r="L163" s="4" t="s">
        <v>518</v>
      </c>
      <c r="M163" s="4" t="s">
        <v>390</v>
      </c>
      <c r="N163" s="9">
        <v>0.99770000000000003</v>
      </c>
      <c r="O163" s="9">
        <v>1</v>
      </c>
      <c r="P163" s="4" t="s">
        <v>71</v>
      </c>
      <c r="Q163" s="4" t="s">
        <v>109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2" customHeight="1">
      <c r="A164" s="4" t="s">
        <v>210</v>
      </c>
      <c r="B164" s="4" t="s">
        <v>388</v>
      </c>
      <c r="C164" s="4" t="s">
        <v>211</v>
      </c>
      <c r="D164" s="17" t="str">
        <f>IFERROR(VLOOKUP(A164,翻译清单!$A$6:$L$155,3,FALSE),"")</f>
        <v>播放语音</v>
      </c>
      <c r="E164" s="8">
        <v>1</v>
      </c>
      <c r="F164" s="8">
        <v>938</v>
      </c>
      <c r="G164" s="8">
        <v>429</v>
      </c>
      <c r="H164" s="8">
        <v>105</v>
      </c>
      <c r="I164" s="8">
        <v>23</v>
      </c>
      <c r="J164" s="8">
        <v>19</v>
      </c>
      <c r="K164" s="4" t="s">
        <v>389</v>
      </c>
      <c r="L164" s="4" t="s">
        <v>518</v>
      </c>
      <c r="M164" s="4" t="s">
        <v>390</v>
      </c>
      <c r="N164" s="9">
        <v>0.95569999999999999</v>
      </c>
      <c r="O164" s="9">
        <v>1</v>
      </c>
      <c r="P164" s="4" t="s">
        <v>71</v>
      </c>
      <c r="Q164" s="4" t="s">
        <v>109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2" customHeight="1">
      <c r="A165" s="4" t="s">
        <v>399</v>
      </c>
      <c r="B165" s="4" t="s">
        <v>388</v>
      </c>
      <c r="C165" s="4" t="s">
        <v>400</v>
      </c>
      <c r="D165" s="17" t="str">
        <f>IFERROR(VLOOKUP(A165,翻译清单!$A$6:$L$155,3,FALSE),"")</f>
        <v>禁用系统存档读取</v>
      </c>
      <c r="E165" s="8">
        <v>1</v>
      </c>
      <c r="F165" s="8">
        <v>143</v>
      </c>
      <c r="G165" s="8">
        <v>568</v>
      </c>
      <c r="H165" s="8">
        <v>303</v>
      </c>
      <c r="I165" s="8">
        <v>26</v>
      </c>
      <c r="J165" s="8">
        <v>21</v>
      </c>
      <c r="K165" s="4" t="s">
        <v>389</v>
      </c>
      <c r="L165" s="4" t="s">
        <v>536</v>
      </c>
      <c r="M165" s="4" t="s">
        <v>390</v>
      </c>
      <c r="N165" s="9">
        <v>0.97150000000000003</v>
      </c>
      <c r="O165" s="9">
        <v>0.95</v>
      </c>
      <c r="P165" s="4" t="s">
        <v>71</v>
      </c>
      <c r="Q165" s="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42" customHeight="1">
      <c r="A166" s="4" t="s">
        <v>115</v>
      </c>
      <c r="B166" s="4" t="s">
        <v>388</v>
      </c>
      <c r="C166" s="4" t="s">
        <v>116</v>
      </c>
      <c r="D166" s="17" t="str">
        <f>IFERROR(VLOOKUP(A166,翻译清单!$A$6:$L$155,3,FALSE),"")</f>
        <v>开</v>
      </c>
      <c r="E166" s="8">
        <v>5</v>
      </c>
      <c r="F166" s="8">
        <v>840</v>
      </c>
      <c r="G166" s="8">
        <v>538</v>
      </c>
      <c r="H166" s="8">
        <v>47</v>
      </c>
      <c r="I166" s="8">
        <v>32</v>
      </c>
      <c r="J166" s="8">
        <v>26</v>
      </c>
      <c r="K166" s="4" t="s">
        <v>389</v>
      </c>
      <c r="L166" s="4" t="s">
        <v>474</v>
      </c>
      <c r="M166" s="4" t="s">
        <v>390</v>
      </c>
      <c r="N166" s="9">
        <v>0.99990000000000001</v>
      </c>
      <c r="O166" s="9">
        <v>1</v>
      </c>
      <c r="P166" s="4" t="s">
        <v>71</v>
      </c>
      <c r="Q166" s="4" t="s">
        <v>109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42" customHeight="1">
      <c r="A167" s="4" t="s">
        <v>121</v>
      </c>
      <c r="B167" s="4" t="s">
        <v>388</v>
      </c>
      <c r="C167" s="4" t="s">
        <v>122</v>
      </c>
      <c r="D167" s="17" t="str">
        <f>IFERROR(VLOOKUP(A167,翻译清单!$A$6:$L$155,3,FALSE),"")</f>
        <v>关闭</v>
      </c>
      <c r="E167" s="8">
        <v>2</v>
      </c>
      <c r="F167" s="8">
        <v>836</v>
      </c>
      <c r="G167" s="8">
        <v>510</v>
      </c>
      <c r="H167" s="8">
        <v>60</v>
      </c>
      <c r="I167" s="8">
        <v>26</v>
      </c>
      <c r="J167" s="8">
        <v>21</v>
      </c>
      <c r="K167" s="4" t="s">
        <v>389</v>
      </c>
      <c r="L167" s="4" t="s">
        <v>474</v>
      </c>
      <c r="M167" s="4" t="s">
        <v>390</v>
      </c>
      <c r="N167" s="9">
        <v>0.99750000000000005</v>
      </c>
      <c r="O167" s="9">
        <v>1</v>
      </c>
      <c r="P167" s="4" t="s">
        <v>71</v>
      </c>
      <c r="Q167" s="4" t="s">
        <v>109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42" customHeight="1">
      <c r="A168" s="4" t="s">
        <v>401</v>
      </c>
      <c r="B168" s="4" t="s">
        <v>403</v>
      </c>
      <c r="C168" s="4" t="s">
        <v>402</v>
      </c>
      <c r="D168" s="17" t="str">
        <f>IFERROR(VLOOKUP(A168,翻译清单!$A$6:$L$155,3,FALSE),"")</f>
        <v>自动播放</v>
      </c>
      <c r="E168" s="8">
        <v>3</v>
      </c>
      <c r="F168" s="8">
        <v>347</v>
      </c>
      <c r="G168" s="8">
        <v>3</v>
      </c>
      <c r="H168" s="8">
        <v>117</v>
      </c>
      <c r="I168" s="8">
        <v>23</v>
      </c>
      <c r="J168" s="8">
        <v>19</v>
      </c>
      <c r="K168" s="4" t="s">
        <v>183</v>
      </c>
      <c r="L168" s="4" t="s">
        <v>537</v>
      </c>
      <c r="M168" s="4" t="s">
        <v>404</v>
      </c>
      <c r="N168" s="9">
        <v>0.99919999999999998</v>
      </c>
      <c r="O168" s="9">
        <v>1</v>
      </c>
      <c r="P168" s="4" t="s">
        <v>71</v>
      </c>
      <c r="Q168" s="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42" customHeight="1">
      <c r="A169" s="4" t="s">
        <v>204</v>
      </c>
      <c r="B169" s="4" t="s">
        <v>403</v>
      </c>
      <c r="C169" s="4" t="s">
        <v>205</v>
      </c>
      <c r="D169" s="17" t="str">
        <f>IFERROR(VLOOKUP(A169,翻译清单!$A$6:$L$155,3,FALSE),"")</f>
        <v>回溯记录</v>
      </c>
      <c r="E169" s="8">
        <v>3</v>
      </c>
      <c r="F169" s="8">
        <v>355</v>
      </c>
      <c r="G169" s="8">
        <v>35</v>
      </c>
      <c r="H169" s="8">
        <v>101</v>
      </c>
      <c r="I169" s="8">
        <v>22</v>
      </c>
      <c r="J169" s="8">
        <v>18</v>
      </c>
      <c r="K169" s="4" t="s">
        <v>183</v>
      </c>
      <c r="L169" s="4" t="s">
        <v>538</v>
      </c>
      <c r="M169" s="4" t="s">
        <v>404</v>
      </c>
      <c r="N169" s="9">
        <v>0.99909999999999999</v>
      </c>
      <c r="O169" s="9">
        <v>1</v>
      </c>
      <c r="P169" s="4" t="s">
        <v>71</v>
      </c>
      <c r="Q169" s="4" t="s">
        <v>109</v>
      </c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42" customHeight="1">
      <c r="A170" s="4" t="s">
        <v>405</v>
      </c>
      <c r="B170" s="4" t="s">
        <v>403</v>
      </c>
      <c r="C170" s="4" t="s">
        <v>406</v>
      </c>
      <c r="D170" s="17" t="str">
        <f>IFERROR(VLOOKUP(A170,翻译清单!$A$6:$L$155,3,FALSE),"")</f>
        <v>无效</v>
      </c>
      <c r="E170" s="8">
        <v>3</v>
      </c>
      <c r="F170" s="8">
        <v>111</v>
      </c>
      <c r="G170" s="8">
        <v>98</v>
      </c>
      <c r="H170" s="8">
        <v>47</v>
      </c>
      <c r="I170" s="8">
        <v>26</v>
      </c>
      <c r="J170" s="8">
        <v>21</v>
      </c>
      <c r="K170" s="4" t="s">
        <v>183</v>
      </c>
      <c r="L170" s="4" t="s">
        <v>539</v>
      </c>
      <c r="M170" s="4" t="s">
        <v>404</v>
      </c>
      <c r="N170" s="9">
        <v>0.99919999999999998</v>
      </c>
      <c r="O170" s="9">
        <v>1</v>
      </c>
      <c r="P170" s="4" t="s">
        <v>71</v>
      </c>
      <c r="Q170" s="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42" customHeight="1">
      <c r="A171" s="4" t="s">
        <v>222</v>
      </c>
      <c r="B171" s="4" t="s">
        <v>403</v>
      </c>
      <c r="C171" s="4" t="s">
        <v>223</v>
      </c>
      <c r="D171" s="17" t="str">
        <f>IFERROR(VLOOKUP(A171,翻译清单!$A$6:$L$155,3,FALSE),"")</f>
        <v>隐藏窗口</v>
      </c>
      <c r="E171" s="8">
        <v>3</v>
      </c>
      <c r="F171" s="8">
        <v>337</v>
      </c>
      <c r="G171" s="8">
        <v>132</v>
      </c>
      <c r="H171" s="8">
        <v>138</v>
      </c>
      <c r="I171" s="8">
        <v>24</v>
      </c>
      <c r="J171" s="8">
        <v>20</v>
      </c>
      <c r="K171" s="4" t="s">
        <v>183</v>
      </c>
      <c r="L171" s="4" t="s">
        <v>540</v>
      </c>
      <c r="M171" s="4" t="s">
        <v>404</v>
      </c>
      <c r="N171" s="9">
        <v>0.99490000000000001</v>
      </c>
      <c r="O171" s="9">
        <v>1</v>
      </c>
      <c r="P171" s="4" t="s">
        <v>71</v>
      </c>
      <c r="Q171" s="4" t="s">
        <v>109</v>
      </c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42" customHeight="1">
      <c r="A172" s="4" t="s">
        <v>197</v>
      </c>
      <c r="B172" s="4" t="s">
        <v>403</v>
      </c>
      <c r="C172" s="4" t="s">
        <v>198</v>
      </c>
      <c r="D172" s="17" t="str">
        <f>IFERROR(VLOOKUP(A172,翻译清单!$A$6:$L$155,3,FALSE),"")</f>
        <v>剧情模式 开/关</v>
      </c>
      <c r="E172" s="8">
        <v>3</v>
      </c>
      <c r="F172" s="8">
        <v>3</v>
      </c>
      <c r="G172" s="8">
        <v>227</v>
      </c>
      <c r="H172" s="8">
        <v>264</v>
      </c>
      <c r="I172" s="8">
        <v>23</v>
      </c>
      <c r="J172" s="8">
        <v>19</v>
      </c>
      <c r="K172" s="4" t="s">
        <v>183</v>
      </c>
      <c r="L172" s="4" t="s">
        <v>541</v>
      </c>
      <c r="M172" s="4" t="s">
        <v>404</v>
      </c>
      <c r="N172" s="9">
        <v>0.99670000000000003</v>
      </c>
      <c r="O172" s="9">
        <v>1</v>
      </c>
      <c r="P172" s="4" t="s">
        <v>71</v>
      </c>
      <c r="Q172" s="4" t="s">
        <v>109</v>
      </c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42" customHeight="1">
      <c r="A173" s="4" t="s">
        <v>218</v>
      </c>
      <c r="B173" s="4" t="s">
        <v>403</v>
      </c>
      <c r="C173" s="4" t="s">
        <v>219</v>
      </c>
      <c r="D173" s="17" t="str">
        <f>IFERROR(VLOOKUP(A173,翻译清单!$A$6:$L$155,3,FALSE),"")</f>
        <v>收藏语音</v>
      </c>
      <c r="E173" s="8">
        <v>3</v>
      </c>
      <c r="F173" s="8">
        <v>325</v>
      </c>
      <c r="G173" s="8">
        <v>227</v>
      </c>
      <c r="H173" s="8">
        <v>163</v>
      </c>
      <c r="I173" s="8">
        <v>23</v>
      </c>
      <c r="J173" s="8">
        <v>19</v>
      </c>
      <c r="K173" s="4" t="s">
        <v>183</v>
      </c>
      <c r="L173" s="4" t="s">
        <v>542</v>
      </c>
      <c r="M173" s="4" t="s">
        <v>404</v>
      </c>
      <c r="N173" s="9">
        <v>0.99199999999999999</v>
      </c>
      <c r="O173" s="9">
        <v>1</v>
      </c>
      <c r="P173" s="4" t="s">
        <v>71</v>
      </c>
      <c r="Q173" s="4" t="s">
        <v>109</v>
      </c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42" customHeight="1">
      <c r="A174" s="4" t="s">
        <v>157</v>
      </c>
      <c r="B174" s="4" t="s">
        <v>403</v>
      </c>
      <c r="C174" s="4" t="s">
        <v>158</v>
      </c>
      <c r="D174" s="17" t="str">
        <f>IFERROR(VLOOKUP(A174,翻译清单!$A$6:$L$155,3,FALSE),"")</f>
        <v>读取</v>
      </c>
      <c r="E174" s="8">
        <v>6</v>
      </c>
      <c r="F174" s="8">
        <v>375</v>
      </c>
      <c r="G174" s="8">
        <v>291</v>
      </c>
      <c r="H174" s="8">
        <v>61</v>
      </c>
      <c r="I174" s="8">
        <v>24</v>
      </c>
      <c r="J174" s="8">
        <v>20</v>
      </c>
      <c r="K174" s="4" t="s">
        <v>183</v>
      </c>
      <c r="L174" s="4" t="s">
        <v>543</v>
      </c>
      <c r="M174" s="4" t="s">
        <v>404</v>
      </c>
      <c r="N174" s="9">
        <v>0.99819999999999998</v>
      </c>
      <c r="O174" s="9">
        <v>1</v>
      </c>
      <c r="P174" s="4" t="s">
        <v>71</v>
      </c>
      <c r="Q174" s="4" t="s">
        <v>109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42" customHeight="1">
      <c r="A175" s="4" t="s">
        <v>227</v>
      </c>
      <c r="B175" s="4" t="s">
        <v>403</v>
      </c>
      <c r="C175" s="4" t="s">
        <v>228</v>
      </c>
      <c r="D175" s="17" t="str">
        <f>IFERROR(VLOOKUP(A175,翻译清单!$A$6:$L$155,3,FALSE),"")</f>
        <v>最小化游戏</v>
      </c>
      <c r="E175" s="8">
        <v>3</v>
      </c>
      <c r="F175" s="8">
        <v>334</v>
      </c>
      <c r="G175" s="8">
        <v>324</v>
      </c>
      <c r="H175" s="8">
        <v>144</v>
      </c>
      <c r="I175" s="8">
        <v>24</v>
      </c>
      <c r="J175" s="8">
        <v>20</v>
      </c>
      <c r="K175" s="4" t="s">
        <v>183</v>
      </c>
      <c r="L175" s="4" t="s">
        <v>544</v>
      </c>
      <c r="M175" s="4" t="s">
        <v>404</v>
      </c>
      <c r="N175" s="9">
        <v>0.99960000000000004</v>
      </c>
      <c r="O175" s="9">
        <v>1</v>
      </c>
      <c r="P175" s="4" t="s">
        <v>71</v>
      </c>
      <c r="Q175" s="4" t="s">
        <v>109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42" customHeight="1">
      <c r="A176" s="4" t="s">
        <v>145</v>
      </c>
      <c r="B176" s="4" t="s">
        <v>403</v>
      </c>
      <c r="C176" s="4" t="s">
        <v>146</v>
      </c>
      <c r="D176" s="17" t="str">
        <f>IFERROR(VLOOKUP(A176,翻译清单!$A$6:$L$155,3,FALSE),"")</f>
        <v>快速读取</v>
      </c>
      <c r="E176" s="8">
        <v>3</v>
      </c>
      <c r="F176" s="8">
        <v>339</v>
      </c>
      <c r="G176" s="8">
        <v>387</v>
      </c>
      <c r="H176" s="8">
        <v>134</v>
      </c>
      <c r="I176" s="8">
        <v>23</v>
      </c>
      <c r="J176" s="8">
        <v>19</v>
      </c>
      <c r="K176" s="4" t="s">
        <v>183</v>
      </c>
      <c r="L176" s="4" t="s">
        <v>543</v>
      </c>
      <c r="M176" s="4" t="s">
        <v>404</v>
      </c>
      <c r="N176" s="9">
        <v>0.99939999999999996</v>
      </c>
      <c r="O176" s="9">
        <v>1</v>
      </c>
      <c r="P176" s="4" t="s">
        <v>71</v>
      </c>
      <c r="Q176" s="4" t="s">
        <v>109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42" customHeight="1">
      <c r="A177" s="4" t="s">
        <v>202</v>
      </c>
      <c r="B177" s="4" t="s">
        <v>403</v>
      </c>
      <c r="C177" s="4" t="s">
        <v>203</v>
      </c>
      <c r="D177" s="17" t="str">
        <f>IFERROR(VLOOKUP(A177,翻译清单!$A$6:$L$155,3,FALSE),"")</f>
        <v>保存截图</v>
      </c>
      <c r="E177" s="8">
        <v>2</v>
      </c>
      <c r="F177" s="8">
        <v>301</v>
      </c>
      <c r="G177" s="8">
        <v>419</v>
      </c>
      <c r="H177" s="8">
        <v>211</v>
      </c>
      <c r="I177" s="8">
        <v>23</v>
      </c>
      <c r="J177" s="8">
        <v>19</v>
      </c>
      <c r="K177" s="4" t="s">
        <v>183</v>
      </c>
      <c r="L177" s="4" t="s">
        <v>545</v>
      </c>
      <c r="M177" s="4" t="s">
        <v>404</v>
      </c>
      <c r="N177" s="9">
        <v>0.997</v>
      </c>
      <c r="O177" s="9">
        <v>1</v>
      </c>
      <c r="P177" s="4" t="s">
        <v>71</v>
      </c>
      <c r="Q177" s="4" t="s">
        <v>109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42" customHeight="1">
      <c r="A178" s="4" t="s">
        <v>233</v>
      </c>
      <c r="B178" s="4" t="s">
        <v>403</v>
      </c>
      <c r="C178" s="4" t="s">
        <v>234</v>
      </c>
      <c r="D178" s="17" t="str">
        <f>IFERROR(VLOOKUP(A178,翻译清单!$A$6:$L$155,3,FALSE),"")</f>
        <v>快速保存</v>
      </c>
      <c r="E178" s="8">
        <v>3</v>
      </c>
      <c r="F178" s="8">
        <v>67</v>
      </c>
      <c r="G178" s="8">
        <v>451</v>
      </c>
      <c r="H178" s="8">
        <v>136</v>
      </c>
      <c r="I178" s="8">
        <v>23</v>
      </c>
      <c r="J178" s="8">
        <v>19</v>
      </c>
      <c r="K178" s="4" t="s">
        <v>183</v>
      </c>
      <c r="L178" s="4" t="s">
        <v>546</v>
      </c>
      <c r="M178" s="4" t="s">
        <v>404</v>
      </c>
      <c r="N178" s="9">
        <v>0.99860000000000004</v>
      </c>
      <c r="O178" s="9">
        <v>1</v>
      </c>
      <c r="P178" s="4" t="s">
        <v>71</v>
      </c>
      <c r="Q178" s="4" t="s">
        <v>109</v>
      </c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42" customHeight="1">
      <c r="A179" s="4" t="s">
        <v>152</v>
      </c>
      <c r="B179" s="4" t="s">
        <v>403</v>
      </c>
      <c r="C179" s="4" t="s">
        <v>153</v>
      </c>
      <c r="D179" s="17" t="str">
        <f>IFERROR(VLOOKUP(A179,翻译清单!$A$6:$L$155,3,FALSE),"")</f>
        <v>保存</v>
      </c>
      <c r="E179" s="8">
        <v>6</v>
      </c>
      <c r="F179" s="8">
        <v>104</v>
      </c>
      <c r="G179" s="8">
        <v>610</v>
      </c>
      <c r="H179" s="8">
        <v>61</v>
      </c>
      <c r="I179" s="8">
        <v>25</v>
      </c>
      <c r="J179" s="8">
        <v>20</v>
      </c>
      <c r="K179" s="4" t="s">
        <v>183</v>
      </c>
      <c r="L179" s="4" t="s">
        <v>547</v>
      </c>
      <c r="M179" s="4" t="s">
        <v>404</v>
      </c>
      <c r="N179" s="9">
        <v>0.99729999999999996</v>
      </c>
      <c r="O179" s="9">
        <v>1</v>
      </c>
      <c r="P179" s="4" t="s">
        <v>71</v>
      </c>
      <c r="Q179" s="4" t="s">
        <v>109</v>
      </c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42" customHeight="1">
      <c r="A180" s="4" t="s">
        <v>208</v>
      </c>
      <c r="B180" s="4" t="s">
        <v>403</v>
      </c>
      <c r="C180" s="4" t="s">
        <v>209</v>
      </c>
      <c r="D180" s="17" t="str">
        <f>IFERROR(VLOOKUP(A180,翻译清单!$A$6:$L$155,3,FALSE),"")</f>
        <v>跳过文本</v>
      </c>
      <c r="E180" s="8">
        <v>3</v>
      </c>
      <c r="F180" s="8">
        <v>45</v>
      </c>
      <c r="G180" s="8">
        <v>643</v>
      </c>
      <c r="H180" s="8">
        <v>178</v>
      </c>
      <c r="I180" s="8">
        <v>24</v>
      </c>
      <c r="J180" s="8">
        <v>20</v>
      </c>
      <c r="K180" s="4" t="s">
        <v>183</v>
      </c>
      <c r="L180" s="4" t="s">
        <v>548</v>
      </c>
      <c r="M180" s="4" t="s">
        <v>404</v>
      </c>
      <c r="N180" s="9">
        <v>0.99950000000000006</v>
      </c>
      <c r="O180" s="9">
        <v>1</v>
      </c>
      <c r="P180" s="4" t="s">
        <v>71</v>
      </c>
      <c r="Q180" s="4" t="s">
        <v>109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42" customHeight="1">
      <c r="A181" s="4" t="s">
        <v>407</v>
      </c>
      <c r="B181" s="4" t="s">
        <v>403</v>
      </c>
      <c r="C181" s="4" t="s">
        <v>408</v>
      </c>
      <c r="D181" s="17" t="str">
        <f>IFERROR(VLOOKUP(A181,翻译清单!$A$6:$L$155,3,FALSE),"")</f>
        <v>系统</v>
      </c>
      <c r="E181" s="8">
        <v>1</v>
      </c>
      <c r="F181" s="8">
        <v>334</v>
      </c>
      <c r="G181" s="8">
        <v>324</v>
      </c>
      <c r="H181" s="8">
        <v>144</v>
      </c>
      <c r="I181" s="8">
        <v>24</v>
      </c>
      <c r="J181" s="8">
        <v>20</v>
      </c>
      <c r="K181" s="4" t="s">
        <v>183</v>
      </c>
      <c r="L181" s="4" t="s">
        <v>544</v>
      </c>
      <c r="M181" s="4" t="s">
        <v>404</v>
      </c>
      <c r="N181" s="9">
        <v>0.99960000000000004</v>
      </c>
      <c r="O181" s="9">
        <v>0.182</v>
      </c>
      <c r="P181" s="4" t="s">
        <v>357</v>
      </c>
      <c r="Q181" s="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42" customHeight="1">
      <c r="A182" s="4" t="s">
        <v>229</v>
      </c>
      <c r="B182" s="4" t="s">
        <v>403</v>
      </c>
      <c r="C182" s="4" t="s">
        <v>230</v>
      </c>
      <c r="D182" s="17" t="str">
        <f>IFERROR(VLOOKUP(A182,翻译清单!$A$6:$L$155,3,FALSE),"")</f>
        <v>返回标题画面</v>
      </c>
      <c r="E182" s="8">
        <v>1</v>
      </c>
      <c r="F182" s="8">
        <v>347</v>
      </c>
      <c r="G182" s="8">
        <v>3</v>
      </c>
      <c r="H182" s="8">
        <v>117</v>
      </c>
      <c r="I182" s="8">
        <v>23</v>
      </c>
      <c r="J182" s="8">
        <v>19</v>
      </c>
      <c r="K182" s="4" t="s">
        <v>183</v>
      </c>
      <c r="L182" s="4" t="s">
        <v>537</v>
      </c>
      <c r="M182" s="4" t="s">
        <v>404</v>
      </c>
      <c r="N182" s="9">
        <v>0.99919999999999998</v>
      </c>
      <c r="O182" s="9">
        <v>0.154</v>
      </c>
      <c r="P182" s="4" t="s">
        <v>357</v>
      </c>
      <c r="Q182" s="4" t="s">
        <v>109</v>
      </c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42" customHeight="1">
      <c r="A183" s="4" t="s">
        <v>210</v>
      </c>
      <c r="B183" s="4" t="s">
        <v>403</v>
      </c>
      <c r="C183" s="4" t="s">
        <v>211</v>
      </c>
      <c r="D183" s="17" t="str">
        <f>IFERROR(VLOOKUP(A183,翻译清单!$A$6:$L$155,3,FALSE),"")</f>
        <v>播放语音</v>
      </c>
      <c r="E183" s="8">
        <v>1</v>
      </c>
      <c r="F183" s="8">
        <v>325</v>
      </c>
      <c r="G183" s="8">
        <v>227</v>
      </c>
      <c r="H183" s="8">
        <v>163</v>
      </c>
      <c r="I183" s="8">
        <v>23</v>
      </c>
      <c r="J183" s="8">
        <v>19</v>
      </c>
      <c r="K183" s="4" t="s">
        <v>183</v>
      </c>
      <c r="L183" s="4" t="s">
        <v>542</v>
      </c>
      <c r="M183" s="4" t="s">
        <v>404</v>
      </c>
      <c r="N183" s="9">
        <v>0.99199999999999999</v>
      </c>
      <c r="O183" s="9">
        <v>0.46200000000000002</v>
      </c>
      <c r="P183" s="4" t="s">
        <v>357</v>
      </c>
      <c r="Q183" s="4" t="s">
        <v>109</v>
      </c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42" customHeight="1">
      <c r="A184" s="4" t="s">
        <v>411</v>
      </c>
      <c r="B184" s="4" t="s">
        <v>413</v>
      </c>
      <c r="C184" s="4" t="s">
        <v>412</v>
      </c>
      <c r="D184" s="17" t="str">
        <f>IFERROR(VLOOKUP(A184,翻译清单!$A$6:$L$155,3,FALSE),"")</f>
        <v>点击下拉菜单（▼）即可更改快捷键项目。</v>
      </c>
      <c r="E184" s="8">
        <v>1</v>
      </c>
      <c r="F184" s="8">
        <v>0</v>
      </c>
      <c r="G184" s="8">
        <v>45</v>
      </c>
      <c r="H184" s="8">
        <v>294</v>
      </c>
      <c r="I184" s="8">
        <v>37</v>
      </c>
      <c r="J184" s="8">
        <v>30</v>
      </c>
      <c r="K184" s="4" t="s">
        <v>216</v>
      </c>
      <c r="L184" s="4" t="s">
        <v>549</v>
      </c>
      <c r="M184" s="4" t="s">
        <v>414</v>
      </c>
      <c r="N184" s="9">
        <v>0.99819999999999998</v>
      </c>
      <c r="O184" s="9">
        <v>0.32600000000000001</v>
      </c>
      <c r="P184" s="4" t="s">
        <v>357</v>
      </c>
      <c r="Q184" s="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42" customHeight="1">
      <c r="A185" s="4" t="s">
        <v>415</v>
      </c>
      <c r="B185" s="4" t="s">
        <v>413</v>
      </c>
      <c r="C185" s="4" t="s">
        <v>416</v>
      </c>
      <c r="D185" s="17" t="str">
        <f>IFERROR(VLOOKUP(A185,翻译清单!$A$6:$L$155,3,FALSE),"")</f>
        <v>推进消息／确认选项</v>
      </c>
      <c r="E185" s="8">
        <v>1</v>
      </c>
      <c r="F185" s="8">
        <v>291</v>
      </c>
      <c r="G185" s="8">
        <v>19</v>
      </c>
      <c r="H185" s="8">
        <v>429</v>
      </c>
      <c r="I185" s="8">
        <v>23</v>
      </c>
      <c r="J185" s="8">
        <v>19</v>
      </c>
      <c r="K185" s="4" t="s">
        <v>216</v>
      </c>
      <c r="L185" s="4" t="s">
        <v>550</v>
      </c>
      <c r="M185" s="4" t="s">
        <v>414</v>
      </c>
      <c r="N185" s="9">
        <v>0.93710000000000004</v>
      </c>
      <c r="O185" s="9">
        <v>0.88300000000000001</v>
      </c>
      <c r="P185" s="4" t="s">
        <v>76</v>
      </c>
      <c r="Q185" s="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42" customHeight="1">
      <c r="A186" s="4" t="s">
        <v>197</v>
      </c>
      <c r="B186" s="4" t="s">
        <v>413</v>
      </c>
      <c r="C186" s="4" t="s">
        <v>198</v>
      </c>
      <c r="D186" s="17" t="str">
        <f>IFERROR(VLOOKUP(A186,翻译清单!$A$6:$L$155,3,FALSE),"")</f>
        <v>剧情模式 开/关</v>
      </c>
      <c r="E186" s="8">
        <v>2</v>
      </c>
      <c r="F186" s="8">
        <v>293</v>
      </c>
      <c r="G186" s="8">
        <v>40</v>
      </c>
      <c r="H186" s="8">
        <v>391</v>
      </c>
      <c r="I186" s="8">
        <v>21</v>
      </c>
      <c r="J186" s="8">
        <v>17</v>
      </c>
      <c r="K186" s="4" t="s">
        <v>216</v>
      </c>
      <c r="L186" s="4" t="s">
        <v>551</v>
      </c>
      <c r="M186" s="4" t="s">
        <v>414</v>
      </c>
      <c r="N186" s="9">
        <v>0.86099999999999999</v>
      </c>
      <c r="O186" s="9">
        <v>0.93799999999999994</v>
      </c>
      <c r="P186" s="4" t="s">
        <v>76</v>
      </c>
      <c r="Q186" s="4" t="s">
        <v>109</v>
      </c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42" customHeight="1">
      <c r="A187" s="4" t="s">
        <v>417</v>
      </c>
      <c r="B187" s="4" t="s">
        <v>413</v>
      </c>
      <c r="C187" s="4" t="s">
        <v>418</v>
      </c>
      <c r="D187" s="17" t="str">
        <f>IFERROR(VLOOKUP(A187,翻译清单!$A$6:$L$155,3,FALSE),"")</f>
        <v>强制跳过消息</v>
      </c>
      <c r="E187" s="8">
        <v>2</v>
      </c>
      <c r="F187" s="8">
        <v>293</v>
      </c>
      <c r="G187" s="8">
        <v>61</v>
      </c>
      <c r="H187" s="8">
        <v>247</v>
      </c>
      <c r="I187" s="8">
        <v>19</v>
      </c>
      <c r="J187" s="8">
        <v>16</v>
      </c>
      <c r="K187" s="4" t="s">
        <v>216</v>
      </c>
      <c r="L187" s="4" t="s">
        <v>466</v>
      </c>
      <c r="M187" s="4" t="s">
        <v>414</v>
      </c>
      <c r="N187" s="9">
        <v>0.93259999999999998</v>
      </c>
      <c r="O187" s="9">
        <v>1</v>
      </c>
      <c r="P187" s="4" t="s">
        <v>76</v>
      </c>
      <c r="Q187" s="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42" customHeight="1">
      <c r="A188" s="4" t="s">
        <v>419</v>
      </c>
      <c r="B188" s="4" t="s">
        <v>413</v>
      </c>
      <c r="C188" s="4" t="s">
        <v>420</v>
      </c>
      <c r="D188" s="17" t="str">
        <f>IFERROR(VLOOKUP(A188,翻译清单!$A$6:$L$155,3,FALSE),"")</f>
        <v>键盘输入 开／关</v>
      </c>
      <c r="E188" s="8">
        <v>2</v>
      </c>
      <c r="F188" s="8">
        <v>294</v>
      </c>
      <c r="G188" s="8">
        <v>81</v>
      </c>
      <c r="H188" s="8">
        <v>218</v>
      </c>
      <c r="I188" s="8">
        <v>20</v>
      </c>
      <c r="J188" s="8">
        <v>16</v>
      </c>
      <c r="K188" s="4" t="s">
        <v>216</v>
      </c>
      <c r="L188" s="4" t="s">
        <v>474</v>
      </c>
      <c r="M188" s="4" t="s">
        <v>414</v>
      </c>
      <c r="N188" s="9">
        <v>0.94730000000000003</v>
      </c>
      <c r="O188" s="9">
        <v>0.91700000000000004</v>
      </c>
      <c r="P188" s="4" t="s">
        <v>71</v>
      </c>
      <c r="Q188" s="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42" customHeight="1">
      <c r="A189" s="4" t="s">
        <v>423</v>
      </c>
      <c r="B189" s="4" t="s">
        <v>413</v>
      </c>
      <c r="C189" s="4" t="s">
        <v>424</v>
      </c>
      <c r="D189" s="17" t="str">
        <f>IFERROR(VLOOKUP(A189,翻译清单!$A$6:$L$155,3,FALSE),"")</f>
        <v>更改窗口大小</v>
      </c>
      <c r="E189" s="8">
        <v>1</v>
      </c>
      <c r="F189" s="8">
        <v>293</v>
      </c>
      <c r="G189" s="8">
        <v>100</v>
      </c>
      <c r="H189" s="8">
        <v>220</v>
      </c>
      <c r="I189" s="8">
        <v>21</v>
      </c>
      <c r="J189" s="8">
        <v>17</v>
      </c>
      <c r="K189" s="4" t="s">
        <v>216</v>
      </c>
      <c r="L189" s="4" t="s">
        <v>552</v>
      </c>
      <c r="M189" s="4" t="s">
        <v>414</v>
      </c>
      <c r="N189" s="9">
        <v>0.999</v>
      </c>
      <c r="O189" s="9">
        <v>0.90900000000000003</v>
      </c>
      <c r="P189" s="4" t="s">
        <v>71</v>
      </c>
      <c r="Q189" s="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42" customHeight="1">
      <c r="A190" s="4" t="s">
        <v>425</v>
      </c>
      <c r="B190" s="4" t="s">
        <v>413</v>
      </c>
      <c r="C190" s="4" t="s">
        <v>426</v>
      </c>
      <c r="D190" s="17" t="str">
        <f>IFERROR(VLOOKUP(A190,翻译清单!$A$6:$L$155,3,FALSE),"")</f>
        <v>查看历史记录时向下移动</v>
      </c>
      <c r="E190" s="8">
        <v>1</v>
      </c>
      <c r="F190" s="8">
        <v>293</v>
      </c>
      <c r="G190" s="8">
        <v>120</v>
      </c>
      <c r="H190" s="8">
        <v>207</v>
      </c>
      <c r="I190" s="8">
        <v>19</v>
      </c>
      <c r="J190" s="8">
        <v>16</v>
      </c>
      <c r="K190" s="4" t="s">
        <v>216</v>
      </c>
      <c r="L190" s="4" t="s">
        <v>534</v>
      </c>
      <c r="M190" s="4" t="s">
        <v>414</v>
      </c>
      <c r="N190" s="9">
        <v>0.99939999999999996</v>
      </c>
      <c r="O190" s="9">
        <v>1</v>
      </c>
      <c r="P190" s="4" t="s">
        <v>71</v>
      </c>
      <c r="Q190" s="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42" customHeight="1">
      <c r="A191" s="4" t="s">
        <v>202</v>
      </c>
      <c r="B191" s="4" t="s">
        <v>413</v>
      </c>
      <c r="C191" s="4" t="s">
        <v>203</v>
      </c>
      <c r="D191" s="17" t="str">
        <f>IFERROR(VLOOKUP(A191,翻译清单!$A$6:$L$155,3,FALSE),"")</f>
        <v>保存截图</v>
      </c>
      <c r="E191" s="8">
        <v>1</v>
      </c>
      <c r="F191" s="8">
        <v>293</v>
      </c>
      <c r="G191" s="8">
        <v>137</v>
      </c>
      <c r="H191" s="8">
        <v>210</v>
      </c>
      <c r="I191" s="8">
        <v>23</v>
      </c>
      <c r="J191" s="8">
        <v>19</v>
      </c>
      <c r="K191" s="4" t="s">
        <v>216</v>
      </c>
      <c r="L191" s="4" t="s">
        <v>552</v>
      </c>
      <c r="M191" s="4" t="s">
        <v>414</v>
      </c>
      <c r="N191" s="9">
        <v>0.96240000000000003</v>
      </c>
      <c r="O191" s="9">
        <v>1</v>
      </c>
      <c r="P191" s="4" t="s">
        <v>71</v>
      </c>
      <c r="Q191" s="4" t="s">
        <v>109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42" customHeight="1">
      <c r="A192" s="4" t="s">
        <v>427</v>
      </c>
      <c r="B192" s="4" t="s">
        <v>413</v>
      </c>
      <c r="C192" s="4" t="s">
        <v>428</v>
      </c>
      <c r="D192" s="17" t="str">
        <f>IFERROR(VLOOKUP(A192,翻译清单!$A$6:$L$155,3,FALSE),"")</f>
        <v>鼠标右键单击</v>
      </c>
      <c r="E192" s="8">
        <v>1</v>
      </c>
      <c r="F192" s="8">
        <v>295</v>
      </c>
      <c r="G192" s="8">
        <v>159</v>
      </c>
      <c r="H192" s="8">
        <v>185</v>
      </c>
      <c r="I192" s="8">
        <v>20</v>
      </c>
      <c r="J192" s="8">
        <v>16</v>
      </c>
      <c r="K192" s="4" t="s">
        <v>216</v>
      </c>
      <c r="L192" s="4" t="s">
        <v>534</v>
      </c>
      <c r="M192" s="4" t="s">
        <v>414</v>
      </c>
      <c r="N192" s="9">
        <v>0.99980000000000002</v>
      </c>
      <c r="O192" s="9">
        <v>1</v>
      </c>
      <c r="P192" s="4" t="s">
        <v>71</v>
      </c>
      <c r="Q192" s="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42" customHeight="1">
      <c r="A193" s="4" t="s">
        <v>208</v>
      </c>
      <c r="B193" s="4" t="s">
        <v>413</v>
      </c>
      <c r="C193" s="4" t="s">
        <v>209</v>
      </c>
      <c r="D193" s="17" t="str">
        <f>IFERROR(VLOOKUP(A193,翻译清单!$A$6:$L$155,3,FALSE),"")</f>
        <v>跳过文本</v>
      </c>
      <c r="E193" s="8">
        <v>2</v>
      </c>
      <c r="F193" s="8">
        <v>295</v>
      </c>
      <c r="G193" s="8">
        <v>179</v>
      </c>
      <c r="H193" s="8">
        <v>173</v>
      </c>
      <c r="I193" s="8">
        <v>19</v>
      </c>
      <c r="J193" s="8">
        <v>16</v>
      </c>
      <c r="K193" s="4" t="s">
        <v>216</v>
      </c>
      <c r="L193" s="4" t="s">
        <v>474</v>
      </c>
      <c r="M193" s="4" t="s">
        <v>414</v>
      </c>
      <c r="N193" s="9">
        <v>0.95189999999999997</v>
      </c>
      <c r="O193" s="9">
        <v>0.88900000000000001</v>
      </c>
      <c r="P193" s="4" t="s">
        <v>71</v>
      </c>
      <c r="Q193" s="4" t="s">
        <v>109</v>
      </c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42" customHeight="1">
      <c r="A194" s="4" t="s">
        <v>429</v>
      </c>
      <c r="B194" s="4" t="s">
        <v>413</v>
      </c>
      <c r="C194" s="4" t="s">
        <v>430</v>
      </c>
      <c r="D194" s="17" t="str">
        <f>IFERROR(VLOOKUP(A194,翻译清单!$A$6:$L$155,3,FALSE),"")</f>
        <v>固定快捷键</v>
      </c>
      <c r="E194" s="8">
        <v>1</v>
      </c>
      <c r="F194" s="8">
        <v>0</v>
      </c>
      <c r="G194" s="8">
        <v>45</v>
      </c>
      <c r="H194" s="8">
        <v>294</v>
      </c>
      <c r="I194" s="8">
        <v>37</v>
      </c>
      <c r="J194" s="8">
        <v>30</v>
      </c>
      <c r="K194" s="4" t="s">
        <v>216</v>
      </c>
      <c r="L194" s="4" t="s">
        <v>549</v>
      </c>
      <c r="M194" s="4" t="s">
        <v>414</v>
      </c>
      <c r="N194" s="9">
        <v>0.99819999999999998</v>
      </c>
      <c r="O194" s="9">
        <v>1</v>
      </c>
      <c r="P194" s="4" t="s">
        <v>71</v>
      </c>
      <c r="Q194" s="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42" customHeight="1">
      <c r="A195" s="4" t="s">
        <v>431</v>
      </c>
      <c r="B195" s="4" t="s">
        <v>413</v>
      </c>
      <c r="C195" s="4" t="s">
        <v>432</v>
      </c>
      <c r="D195" s="17" t="str">
        <f>IFERROR(VLOOKUP(A195,翻译清单!$A$6:$L$155,3,FALSE),"")</f>
        <v>Space</v>
      </c>
      <c r="E195" s="8">
        <v>1</v>
      </c>
      <c r="F195" s="8">
        <v>4</v>
      </c>
      <c r="G195" s="8">
        <v>83</v>
      </c>
      <c r="H195" s="8">
        <v>27</v>
      </c>
      <c r="I195" s="8">
        <v>59</v>
      </c>
      <c r="J195" s="8">
        <v>48</v>
      </c>
      <c r="K195" s="4" t="s">
        <v>216</v>
      </c>
      <c r="L195" s="4" t="s">
        <v>553</v>
      </c>
      <c r="M195" s="4" t="s">
        <v>414</v>
      </c>
      <c r="N195" s="9">
        <v>0.94410000000000005</v>
      </c>
      <c r="O195" s="9">
        <v>1</v>
      </c>
      <c r="P195" s="4" t="s">
        <v>71</v>
      </c>
      <c r="Q195" s="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42" customHeight="1">
      <c r="A196" s="4" t="s">
        <v>433</v>
      </c>
      <c r="B196" s="4" t="s">
        <v>413</v>
      </c>
      <c r="C196" s="4" t="s">
        <v>434</v>
      </c>
      <c r="D196" s="17" t="str">
        <f>IFERROR(VLOOKUP(A196,翻译清单!$A$6:$L$155,3,FALSE),"")</f>
        <v>Ctrl</v>
      </c>
      <c r="E196" s="8">
        <v>1</v>
      </c>
      <c r="F196" s="8">
        <v>39</v>
      </c>
      <c r="G196" s="8">
        <v>94</v>
      </c>
      <c r="H196" s="8">
        <v>21</v>
      </c>
      <c r="I196" s="8">
        <v>39</v>
      </c>
      <c r="J196" s="8">
        <v>32</v>
      </c>
      <c r="K196" s="4" t="s">
        <v>216</v>
      </c>
      <c r="L196" s="4" t="s">
        <v>554</v>
      </c>
      <c r="M196" s="4" t="s">
        <v>414</v>
      </c>
      <c r="N196" s="9">
        <v>0.95599999999999996</v>
      </c>
      <c r="O196" s="9">
        <v>1</v>
      </c>
      <c r="P196" s="4" t="s">
        <v>71</v>
      </c>
      <c r="Q196" s="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42" customHeight="1">
      <c r="A197" s="4" t="s">
        <v>435</v>
      </c>
      <c r="B197" s="4" t="s">
        <v>413</v>
      </c>
      <c r="C197" s="4" t="s">
        <v>436</v>
      </c>
      <c r="D197" s="17" t="str">
        <f>IFERROR(VLOOKUP(A197,翻译清单!$A$6:$L$155,3,FALSE),"")</f>
        <v>Page Down</v>
      </c>
      <c r="E197" s="8">
        <v>1</v>
      </c>
      <c r="F197" s="8">
        <v>75</v>
      </c>
      <c r="G197" s="8">
        <v>77</v>
      </c>
      <c r="H197" s="8">
        <v>21</v>
      </c>
      <c r="I197" s="8">
        <v>71</v>
      </c>
      <c r="J197" s="8">
        <v>58</v>
      </c>
      <c r="K197" s="4" t="s">
        <v>216</v>
      </c>
      <c r="L197" s="4" t="s">
        <v>555</v>
      </c>
      <c r="M197" s="4" t="s">
        <v>414</v>
      </c>
      <c r="N197" s="9">
        <v>0.77110000000000001</v>
      </c>
      <c r="O197" s="9">
        <v>0.85699999999999998</v>
      </c>
      <c r="P197" s="4" t="s">
        <v>76</v>
      </c>
      <c r="Q197" s="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42" customHeight="1">
      <c r="A198" s="4" t="s">
        <v>437</v>
      </c>
      <c r="B198" s="4" t="s">
        <v>413</v>
      </c>
      <c r="C198" s="4" t="s">
        <v>438</v>
      </c>
      <c r="D198" s="17" t="str">
        <f>IFERROR(VLOOKUP(A198,翻译清单!$A$6:$L$155,3,FALSE),"")</f>
        <v>ESC</v>
      </c>
      <c r="E198" s="8">
        <v>1</v>
      </c>
      <c r="F198" s="8">
        <v>108</v>
      </c>
      <c r="G198" s="8">
        <v>93</v>
      </c>
      <c r="H198" s="8">
        <v>20</v>
      </c>
      <c r="I198" s="8">
        <v>39</v>
      </c>
      <c r="J198" s="8">
        <v>32</v>
      </c>
      <c r="K198" s="4" t="s">
        <v>216</v>
      </c>
      <c r="L198" s="4" t="s">
        <v>554</v>
      </c>
      <c r="M198" s="4" t="s">
        <v>414</v>
      </c>
      <c r="N198" s="9">
        <v>0.89059999999999995</v>
      </c>
      <c r="O198" s="9">
        <v>1</v>
      </c>
      <c r="P198" s="4" t="s">
        <v>76</v>
      </c>
      <c r="Q198" s="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42" customHeight="1">
      <c r="A199" s="4" t="s">
        <v>439</v>
      </c>
      <c r="B199" s="4" t="s">
        <v>413</v>
      </c>
      <c r="C199" s="4" t="s">
        <v>440</v>
      </c>
      <c r="D199" s="17" t="str">
        <f>IFERROR(VLOOKUP(A199,翻译清单!$A$6:$L$155,3,FALSE),"")</f>
        <v>Enter</v>
      </c>
      <c r="E199" s="8">
        <v>1</v>
      </c>
      <c r="F199" s="8">
        <v>141</v>
      </c>
      <c r="G199" s="8">
        <v>87</v>
      </c>
      <c r="H199" s="8">
        <v>22</v>
      </c>
      <c r="I199" s="8">
        <v>51</v>
      </c>
      <c r="J199" s="8">
        <v>42</v>
      </c>
      <c r="K199" s="4" t="s">
        <v>216</v>
      </c>
      <c r="L199" s="4" t="s">
        <v>554</v>
      </c>
      <c r="M199" s="4" t="s">
        <v>414</v>
      </c>
      <c r="N199" s="9">
        <v>0.86429999999999996</v>
      </c>
      <c r="O199" s="9">
        <v>0.93</v>
      </c>
      <c r="P199" s="4" t="s">
        <v>76</v>
      </c>
      <c r="Q199" s="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42" customHeight="1">
      <c r="A200" s="4" t="s">
        <v>441</v>
      </c>
      <c r="B200" s="4" t="s">
        <v>443</v>
      </c>
      <c r="C200" s="4" t="s">
        <v>442</v>
      </c>
      <c r="D200" s="17" t="str">
        <f>IFERROR(VLOOKUP(A200,翻译清单!$A$6:$L$155,3,FALSE),"")</f>
        <v>退出游戏</v>
      </c>
      <c r="E200" s="8">
        <v>1</v>
      </c>
      <c r="F200" s="8">
        <v>147</v>
      </c>
      <c r="G200" s="8">
        <v>2</v>
      </c>
      <c r="H200" s="8">
        <v>102</v>
      </c>
      <c r="I200" s="8">
        <v>25</v>
      </c>
      <c r="J200" s="8">
        <v>20</v>
      </c>
      <c r="K200" s="4" t="s">
        <v>183</v>
      </c>
      <c r="L200" s="4" t="s">
        <v>547</v>
      </c>
      <c r="M200" s="4" t="s">
        <v>404</v>
      </c>
      <c r="N200" s="9">
        <v>0.99839999999999995</v>
      </c>
      <c r="O200" s="9">
        <v>1</v>
      </c>
      <c r="P200" s="4" t="s">
        <v>71</v>
      </c>
      <c r="Q200" s="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42" customHeight="1">
      <c r="A201" s="4" t="s">
        <v>419</v>
      </c>
      <c r="B201" s="4" t="s">
        <v>443</v>
      </c>
      <c r="C201" s="4" t="s">
        <v>420</v>
      </c>
      <c r="D201" s="17" t="str">
        <f>IFERROR(VLOOKUP(A201,翻译清单!$A$6:$L$155,3,FALSE),"")</f>
        <v>键盘输入 开／关</v>
      </c>
      <c r="E201" s="8">
        <v>4</v>
      </c>
      <c r="F201" s="8">
        <v>85</v>
      </c>
      <c r="G201" s="8">
        <v>99</v>
      </c>
      <c r="H201" s="8">
        <v>229</v>
      </c>
      <c r="I201" s="8">
        <v>24</v>
      </c>
      <c r="J201" s="8">
        <v>20</v>
      </c>
      <c r="K201" s="4" t="s">
        <v>183</v>
      </c>
      <c r="L201" s="4" t="s">
        <v>556</v>
      </c>
      <c r="M201" s="4" t="s">
        <v>404</v>
      </c>
      <c r="N201" s="9">
        <v>0.95009999999999994</v>
      </c>
      <c r="O201" s="9">
        <v>0.91700000000000004</v>
      </c>
      <c r="P201" s="4" t="s">
        <v>71</v>
      </c>
      <c r="Q201" s="4" t="s">
        <v>109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42" customHeight="1">
      <c r="A202" s="4" t="s">
        <v>423</v>
      </c>
      <c r="B202" s="4" t="s">
        <v>443</v>
      </c>
      <c r="C202" s="4" t="s">
        <v>424</v>
      </c>
      <c r="D202" s="17" t="str">
        <f>IFERROR(VLOOKUP(A202,翻译清单!$A$6:$L$155,3,FALSE),"")</f>
        <v>更改窗口大小</v>
      </c>
      <c r="E202" s="8">
        <v>3</v>
      </c>
      <c r="F202" s="8">
        <v>87</v>
      </c>
      <c r="G202" s="8">
        <v>195</v>
      </c>
      <c r="H202" s="8">
        <v>221</v>
      </c>
      <c r="I202" s="8">
        <v>22</v>
      </c>
      <c r="J202" s="8">
        <v>18</v>
      </c>
      <c r="K202" s="4" t="s">
        <v>183</v>
      </c>
      <c r="L202" s="4" t="s">
        <v>557</v>
      </c>
      <c r="M202" s="4" t="s">
        <v>404</v>
      </c>
      <c r="N202" s="9">
        <v>0.99909999999999999</v>
      </c>
      <c r="O202" s="9">
        <v>1</v>
      </c>
      <c r="P202" s="4" t="s">
        <v>71</v>
      </c>
      <c r="Q202" s="4" t="s">
        <v>109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42" customHeight="1">
      <c r="A203" s="4" t="s">
        <v>407</v>
      </c>
      <c r="B203" s="4" t="s">
        <v>443</v>
      </c>
      <c r="C203" s="4" t="s">
        <v>408</v>
      </c>
      <c r="D203" s="17" t="str">
        <f>IFERROR(VLOOKUP(A203,翻译清单!$A$6:$L$155,3,FALSE),"")</f>
        <v>系统</v>
      </c>
      <c r="E203" s="8">
        <v>2</v>
      </c>
      <c r="F203" s="8">
        <v>156</v>
      </c>
      <c r="G203" s="8">
        <v>227</v>
      </c>
      <c r="H203" s="8">
        <v>85</v>
      </c>
      <c r="I203" s="8">
        <v>23</v>
      </c>
      <c r="J203" s="8">
        <v>19</v>
      </c>
      <c r="K203" s="4" t="s">
        <v>183</v>
      </c>
      <c r="L203" s="4" t="s">
        <v>558</v>
      </c>
      <c r="M203" s="4" t="s">
        <v>404</v>
      </c>
      <c r="N203" s="9">
        <v>0.99990000000000001</v>
      </c>
      <c r="O203" s="9">
        <v>1</v>
      </c>
      <c r="P203" s="4" t="s">
        <v>71</v>
      </c>
      <c r="Q203" s="4" t="s">
        <v>109</v>
      </c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42" customHeight="1">
      <c r="A204" s="4" t="s">
        <v>444</v>
      </c>
      <c r="B204" s="4" t="s">
        <v>446</v>
      </c>
      <c r="C204" s="4" t="s">
        <v>445</v>
      </c>
      <c r="D204" s="17" t="str">
        <f>IFERROR(VLOOKUP(A204,翻译清单!$A$6:$L$155,3,FALSE),"")</f>
        <v>© 2026 Shiratamaco All Rights Reserved.</v>
      </c>
      <c r="E204" s="8">
        <v>1</v>
      </c>
      <c r="F204" s="8">
        <v>704</v>
      </c>
      <c r="G204" s="8">
        <v>1051</v>
      </c>
      <c r="H204" s="8">
        <v>513</v>
      </c>
      <c r="I204" s="8">
        <v>24</v>
      </c>
      <c r="J204" s="8">
        <v>20</v>
      </c>
      <c r="K204" s="4" t="s">
        <v>447</v>
      </c>
      <c r="L204" s="4" t="s">
        <v>559</v>
      </c>
      <c r="M204" s="4" t="s">
        <v>448</v>
      </c>
      <c r="N204" s="9">
        <v>0.99480000000000002</v>
      </c>
      <c r="O204" s="9">
        <v>1</v>
      </c>
      <c r="P204" s="4" t="s">
        <v>71</v>
      </c>
      <c r="Q204" s="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42" customHeight="1">
      <c r="A205" s="4" t="s">
        <v>132</v>
      </c>
      <c r="B205" s="4" t="s">
        <v>560</v>
      </c>
      <c r="C205" s="4" t="s">
        <v>133</v>
      </c>
      <c r="D205" s="17" t="str">
        <f>IFERROR(VLOOKUP(A205,翻译清单!$A$6:$L$155,3,FALSE),"")</f>
        <v>融化的风花与白兔</v>
      </c>
      <c r="E205" s="8">
        <v>1</v>
      </c>
      <c r="F205" s="8">
        <v>422</v>
      </c>
      <c r="G205" s="8">
        <v>41</v>
      </c>
      <c r="H205" s="8">
        <v>377</v>
      </c>
      <c r="I205" s="8">
        <v>273</v>
      </c>
      <c r="J205" s="8">
        <v>224</v>
      </c>
      <c r="K205" s="4" t="s">
        <v>561</v>
      </c>
      <c r="L205" s="4" t="s">
        <v>562</v>
      </c>
      <c r="M205" s="4" t="s">
        <v>563</v>
      </c>
      <c r="N205" s="9">
        <v>0.99250000000000005</v>
      </c>
      <c r="O205" s="9">
        <v>0.68200000000000005</v>
      </c>
      <c r="P205" s="4" t="s">
        <v>76</v>
      </c>
      <c r="Q205" s="4" t="s">
        <v>109</v>
      </c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42" customHeight="1">
      <c r="A206" s="4" t="s">
        <v>137</v>
      </c>
      <c r="B206" s="4" t="s">
        <v>560</v>
      </c>
      <c r="C206" s="4" t="s">
        <v>138</v>
      </c>
      <c r="D206" s="17" t="str">
        <f>IFERROR(VLOOKUP(A206,翻译清单!$A$6:$L$155,3,FALSE),"")</f>
        <v>TOKERU FUUKA TO SHIROUSAGI</v>
      </c>
      <c r="E206" s="8">
        <v>1</v>
      </c>
      <c r="F206" s="8">
        <v>837</v>
      </c>
      <c r="G206" s="8">
        <v>316</v>
      </c>
      <c r="H206" s="8">
        <v>558</v>
      </c>
      <c r="I206" s="8">
        <v>26</v>
      </c>
      <c r="J206" s="8">
        <v>21</v>
      </c>
      <c r="K206" s="4" t="s">
        <v>561</v>
      </c>
      <c r="L206" s="4" t="s">
        <v>564</v>
      </c>
      <c r="M206" s="4" t="s">
        <v>563</v>
      </c>
      <c r="N206" s="9">
        <v>0.9869</v>
      </c>
      <c r="O206" s="9">
        <v>1</v>
      </c>
      <c r="P206" s="4" t="s">
        <v>71</v>
      </c>
      <c r="Q206" s="4" t="s">
        <v>109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42" customHeight="1">
      <c r="A207" s="4" t="s">
        <v>449</v>
      </c>
      <c r="B207" s="4" t="s">
        <v>451</v>
      </c>
      <c r="C207" s="4" t="s">
        <v>450</v>
      </c>
      <c r="D207" s="17" t="str">
        <f>IFERROR(VLOOKUP(A207,翻译清单!$A$6:$L$155,3,FALSE),"")</f>
        <v>体验版</v>
      </c>
      <c r="E207" s="8">
        <v>2</v>
      </c>
      <c r="F207" s="8">
        <v>105</v>
      </c>
      <c r="G207" s="8">
        <v>83</v>
      </c>
      <c r="H207" s="8">
        <v>285</v>
      </c>
      <c r="I207" s="8">
        <v>127</v>
      </c>
      <c r="J207" s="8">
        <v>104</v>
      </c>
      <c r="K207" s="4" t="s">
        <v>452</v>
      </c>
      <c r="L207" s="4" t="s">
        <v>565</v>
      </c>
      <c r="M207" s="4" t="s">
        <v>453</v>
      </c>
      <c r="N207" s="9">
        <v>0.95440000000000003</v>
      </c>
      <c r="O207" s="9">
        <v>1</v>
      </c>
      <c r="P207" s="4" t="s">
        <v>71</v>
      </c>
      <c r="Q207" s="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Q1"/>
    <mergeCell ref="A2:Q2"/>
  </mergeCells>
  <phoneticPr fontId="8" type="noConversion"/>
  <conditionalFormatting sqref="P6:P207">
    <cfRule type="containsText" dxfId="7" priority="1" operator="containsText" text="需复核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0"/>
  <sheetViews>
    <sheetView showGridLines="0" workbookViewId="0"/>
  </sheetViews>
  <sheetFormatPr defaultRowHeight="14.25"/>
  <cols>
    <col min="1" max="1" width="12" customWidth="1"/>
    <col min="2" max="2" width="28" customWidth="1"/>
    <col min="3" max="3" width="52" customWidth="1"/>
    <col min="4" max="4" width="12" customWidth="1"/>
    <col min="5" max="8" width="8" customWidth="1"/>
    <col min="9" max="10" width="12" customWidth="1"/>
    <col min="11" max="11" width="30" customWidth="1"/>
    <col min="12" max="12" width="10" customWidth="1"/>
    <col min="13" max="13" width="14" customWidth="1"/>
  </cols>
  <sheetData>
    <row r="1" spans="1:26" ht="36" customHeight="1">
      <c r="A1" s="15" t="s">
        <v>566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95" customHeight="1">
      <c r="A2" s="16" t="s">
        <v>567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6" t="s">
        <v>568</v>
      </c>
      <c r="B5" s="6" t="s">
        <v>455</v>
      </c>
      <c r="C5" s="6" t="s">
        <v>569</v>
      </c>
      <c r="D5" s="6" t="s">
        <v>570</v>
      </c>
      <c r="E5" s="6" t="s">
        <v>458</v>
      </c>
      <c r="F5" s="6" t="s">
        <v>459</v>
      </c>
      <c r="G5" s="6" t="s">
        <v>460</v>
      </c>
      <c r="H5" s="6" t="s">
        <v>461</v>
      </c>
      <c r="I5" s="6" t="s">
        <v>571</v>
      </c>
      <c r="J5" s="6" t="s">
        <v>462</v>
      </c>
      <c r="K5" s="6" t="s">
        <v>25</v>
      </c>
      <c r="L5" s="6" t="s">
        <v>572</v>
      </c>
      <c r="M5" s="6" t="s">
        <v>573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>
      <c r="A6" s="4" t="s">
        <v>574</v>
      </c>
      <c r="B6" s="4" t="s">
        <v>68</v>
      </c>
      <c r="C6" s="4" t="s">
        <v>575</v>
      </c>
      <c r="D6" s="9">
        <v>0.47199999999999998</v>
      </c>
      <c r="E6" s="8">
        <v>559</v>
      </c>
      <c r="F6" s="8">
        <v>38</v>
      </c>
      <c r="G6" s="8">
        <v>25</v>
      </c>
      <c r="H6" s="8">
        <v>31</v>
      </c>
      <c r="I6" s="8" t="s">
        <v>576</v>
      </c>
      <c r="J6" s="8">
        <v>25</v>
      </c>
      <c r="K6" s="4" t="s">
        <v>577</v>
      </c>
      <c r="L6" s="4" t="s">
        <v>578</v>
      </c>
      <c r="M6" s="4" t="s">
        <v>579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" customHeight="1">
      <c r="A7" s="4" t="s">
        <v>580</v>
      </c>
      <c r="B7" s="4" t="s">
        <v>68</v>
      </c>
      <c r="C7" s="4" t="s">
        <v>581</v>
      </c>
      <c r="D7" s="9">
        <v>0.55879999999999996</v>
      </c>
      <c r="E7" s="8">
        <v>33</v>
      </c>
      <c r="F7" s="8">
        <v>43</v>
      </c>
      <c r="G7" s="8">
        <v>21</v>
      </c>
      <c r="H7" s="8">
        <v>24</v>
      </c>
      <c r="I7" s="8" t="s">
        <v>576</v>
      </c>
      <c r="J7" s="8">
        <v>20</v>
      </c>
      <c r="K7" s="4" t="s">
        <v>582</v>
      </c>
      <c r="L7" s="4" t="s">
        <v>583</v>
      </c>
      <c r="M7" s="4" t="s">
        <v>579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" customHeight="1">
      <c r="A8" s="4" t="s">
        <v>584</v>
      </c>
      <c r="B8" s="4" t="s">
        <v>68</v>
      </c>
      <c r="C8" s="4" t="s">
        <v>66</v>
      </c>
      <c r="D8" s="9">
        <v>0.99690000000000001</v>
      </c>
      <c r="E8" s="8">
        <v>0</v>
      </c>
      <c r="F8" s="8">
        <v>297</v>
      </c>
      <c r="G8" s="8">
        <v>541</v>
      </c>
      <c r="H8" s="8">
        <v>23</v>
      </c>
      <c r="I8" s="8" t="s">
        <v>576</v>
      </c>
      <c r="J8" s="8">
        <v>19</v>
      </c>
      <c r="K8" s="4" t="s">
        <v>466</v>
      </c>
      <c r="L8" s="4" t="s">
        <v>578</v>
      </c>
      <c r="M8" s="4" t="s">
        <v>585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6" customHeight="1">
      <c r="A9" s="4" t="s">
        <v>586</v>
      </c>
      <c r="B9" s="4" t="s">
        <v>68</v>
      </c>
      <c r="C9" s="4" t="s">
        <v>587</v>
      </c>
      <c r="D9" s="9">
        <v>0.99250000000000005</v>
      </c>
      <c r="E9" s="8">
        <v>24</v>
      </c>
      <c r="F9" s="8">
        <v>316</v>
      </c>
      <c r="G9" s="8">
        <v>690</v>
      </c>
      <c r="H9" s="8">
        <v>41</v>
      </c>
      <c r="I9" s="8" t="s">
        <v>576</v>
      </c>
      <c r="J9" s="8">
        <v>34</v>
      </c>
      <c r="K9" s="4" t="s">
        <v>467</v>
      </c>
      <c r="L9" s="4" t="s">
        <v>583</v>
      </c>
      <c r="M9" s="4" t="s">
        <v>585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" customHeight="1">
      <c r="A10" s="4" t="s">
        <v>588</v>
      </c>
      <c r="B10" s="4" t="s">
        <v>68</v>
      </c>
      <c r="C10" s="4" t="s">
        <v>589</v>
      </c>
      <c r="D10" s="9">
        <v>0.92820000000000003</v>
      </c>
      <c r="E10" s="8">
        <v>0</v>
      </c>
      <c r="F10" s="8">
        <v>343</v>
      </c>
      <c r="G10" s="8">
        <v>803</v>
      </c>
      <c r="H10" s="8">
        <v>43</v>
      </c>
      <c r="I10" s="8" t="s">
        <v>576</v>
      </c>
      <c r="J10" s="8">
        <v>35</v>
      </c>
      <c r="K10" s="4" t="s">
        <v>590</v>
      </c>
      <c r="L10" s="4" t="s">
        <v>578</v>
      </c>
      <c r="M10" s="4" t="s">
        <v>585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>
      <c r="A11" s="4" t="s">
        <v>591</v>
      </c>
      <c r="B11" s="4" t="s">
        <v>68</v>
      </c>
      <c r="C11" s="4" t="s">
        <v>592</v>
      </c>
      <c r="D11" s="9">
        <v>0.99950000000000006</v>
      </c>
      <c r="E11" s="8">
        <v>708</v>
      </c>
      <c r="F11" s="8">
        <v>380</v>
      </c>
      <c r="G11" s="8">
        <v>101</v>
      </c>
      <c r="H11" s="8">
        <v>25</v>
      </c>
      <c r="I11" s="8" t="s">
        <v>576</v>
      </c>
      <c r="J11" s="8">
        <v>20</v>
      </c>
      <c r="K11" s="4" t="s">
        <v>475</v>
      </c>
      <c r="L11" s="4" t="s">
        <v>583</v>
      </c>
      <c r="M11" s="4" t="s">
        <v>585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>
      <c r="A12" s="4" t="s">
        <v>593</v>
      </c>
      <c r="B12" s="4" t="s">
        <v>68</v>
      </c>
      <c r="C12" s="4" t="s">
        <v>594</v>
      </c>
      <c r="D12" s="9">
        <v>0.96279999999999999</v>
      </c>
      <c r="E12" s="8">
        <v>1</v>
      </c>
      <c r="F12" s="8">
        <v>382</v>
      </c>
      <c r="G12" s="8">
        <v>515</v>
      </c>
      <c r="H12" s="8">
        <v>36</v>
      </c>
      <c r="I12" s="8" t="s">
        <v>576</v>
      </c>
      <c r="J12" s="8">
        <v>30</v>
      </c>
      <c r="K12" s="4" t="s">
        <v>469</v>
      </c>
      <c r="L12" s="4" t="s">
        <v>578</v>
      </c>
      <c r="M12" s="4" t="s">
        <v>585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4" t="s">
        <v>595</v>
      </c>
      <c r="B13" s="4" t="s">
        <v>68</v>
      </c>
      <c r="C13" s="4" t="s">
        <v>102</v>
      </c>
      <c r="D13" s="9">
        <v>1</v>
      </c>
      <c r="E13" s="8">
        <v>525</v>
      </c>
      <c r="F13" s="8">
        <v>390</v>
      </c>
      <c r="G13" s="8">
        <v>188</v>
      </c>
      <c r="H13" s="8">
        <v>23</v>
      </c>
      <c r="I13" s="8" t="s">
        <v>576</v>
      </c>
      <c r="J13" s="8">
        <v>19</v>
      </c>
      <c r="K13" s="4" t="s">
        <v>474</v>
      </c>
      <c r="L13" s="4" t="s">
        <v>583</v>
      </c>
      <c r="M13" s="4" t="s">
        <v>585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4" t="s">
        <v>596</v>
      </c>
      <c r="B14" s="4" t="s">
        <v>68</v>
      </c>
      <c r="C14" s="4" t="s">
        <v>80</v>
      </c>
      <c r="D14" s="9">
        <v>0.97440000000000004</v>
      </c>
      <c r="E14" s="8">
        <v>1</v>
      </c>
      <c r="F14" s="8">
        <v>415</v>
      </c>
      <c r="G14" s="8">
        <v>507</v>
      </c>
      <c r="H14" s="8">
        <v>36</v>
      </c>
      <c r="I14" s="8" t="s">
        <v>576</v>
      </c>
      <c r="J14" s="8">
        <v>30</v>
      </c>
      <c r="K14" s="4" t="s">
        <v>470</v>
      </c>
      <c r="L14" s="4" t="s">
        <v>578</v>
      </c>
      <c r="M14" s="4" t="s">
        <v>585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>
      <c r="A15" s="4" t="s">
        <v>597</v>
      </c>
      <c r="B15" s="4" t="s">
        <v>68</v>
      </c>
      <c r="C15" s="4" t="s">
        <v>102</v>
      </c>
      <c r="D15" s="9">
        <v>1</v>
      </c>
      <c r="E15" s="8">
        <v>523</v>
      </c>
      <c r="F15" s="8">
        <v>425</v>
      </c>
      <c r="G15" s="8">
        <v>188</v>
      </c>
      <c r="H15" s="8">
        <v>23</v>
      </c>
      <c r="I15" s="8" t="s">
        <v>576</v>
      </c>
      <c r="J15" s="8">
        <v>19</v>
      </c>
      <c r="K15" s="4" t="s">
        <v>483</v>
      </c>
      <c r="L15" s="4" t="s">
        <v>583</v>
      </c>
      <c r="M15" s="4" t="s">
        <v>585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" customHeight="1">
      <c r="A16" s="4" t="s">
        <v>598</v>
      </c>
      <c r="B16" s="4" t="s">
        <v>68</v>
      </c>
      <c r="C16" s="4" t="s">
        <v>82</v>
      </c>
      <c r="D16" s="9">
        <v>0.96309999999999996</v>
      </c>
      <c r="E16" s="8">
        <v>0</v>
      </c>
      <c r="F16" s="8">
        <v>445</v>
      </c>
      <c r="G16" s="8">
        <v>444</v>
      </c>
      <c r="H16" s="8">
        <v>41</v>
      </c>
      <c r="I16" s="8" t="s">
        <v>576</v>
      </c>
      <c r="J16" s="8">
        <v>34</v>
      </c>
      <c r="K16" s="4" t="s">
        <v>471</v>
      </c>
      <c r="L16" s="4" t="s">
        <v>578</v>
      </c>
      <c r="M16" s="4" t="s">
        <v>585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" customHeight="1">
      <c r="A17" s="4" t="s">
        <v>599</v>
      </c>
      <c r="B17" s="4" t="s">
        <v>68</v>
      </c>
      <c r="C17" s="4" t="s">
        <v>84</v>
      </c>
      <c r="D17" s="9">
        <v>0.98929999999999996</v>
      </c>
      <c r="E17" s="8">
        <v>0</v>
      </c>
      <c r="F17" s="8">
        <v>479</v>
      </c>
      <c r="G17" s="8">
        <v>441</v>
      </c>
      <c r="H17" s="8">
        <v>45</v>
      </c>
      <c r="I17" s="8" t="s">
        <v>576</v>
      </c>
      <c r="J17" s="8">
        <v>37</v>
      </c>
      <c r="K17" s="4" t="s">
        <v>472</v>
      </c>
      <c r="L17" s="4" t="s">
        <v>578</v>
      </c>
      <c r="M17" s="4" t="s">
        <v>585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" customHeight="1">
      <c r="A18" s="4" t="s">
        <v>600</v>
      </c>
      <c r="B18" s="4" t="s">
        <v>68</v>
      </c>
      <c r="C18" s="4" t="s">
        <v>86</v>
      </c>
      <c r="D18" s="9">
        <v>0.99819999999999998</v>
      </c>
      <c r="E18" s="8">
        <v>1</v>
      </c>
      <c r="F18" s="8">
        <v>513</v>
      </c>
      <c r="G18" s="8">
        <v>437</v>
      </c>
      <c r="H18" s="8">
        <v>38</v>
      </c>
      <c r="I18" s="8" t="s">
        <v>576</v>
      </c>
      <c r="J18" s="8">
        <v>31</v>
      </c>
      <c r="K18" s="4" t="s">
        <v>468</v>
      </c>
      <c r="L18" s="4" t="s">
        <v>578</v>
      </c>
      <c r="M18" s="4" t="s">
        <v>585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" customHeight="1">
      <c r="A19" s="4" t="s">
        <v>601</v>
      </c>
      <c r="B19" s="4" t="s">
        <v>68</v>
      </c>
      <c r="C19" s="4" t="s">
        <v>602</v>
      </c>
      <c r="D19" s="9">
        <v>0.93840000000000001</v>
      </c>
      <c r="E19" s="8">
        <v>471</v>
      </c>
      <c r="F19" s="8">
        <v>537</v>
      </c>
      <c r="G19" s="8">
        <v>294</v>
      </c>
      <c r="H19" s="8">
        <v>41</v>
      </c>
      <c r="I19" s="8" t="s">
        <v>576</v>
      </c>
      <c r="J19" s="8">
        <v>34</v>
      </c>
      <c r="K19" s="4" t="s">
        <v>472</v>
      </c>
      <c r="L19" s="4" t="s">
        <v>583</v>
      </c>
      <c r="M19" s="4" t="s">
        <v>585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" customHeight="1">
      <c r="A20" s="4" t="s">
        <v>603</v>
      </c>
      <c r="B20" s="4" t="s">
        <v>68</v>
      </c>
      <c r="C20" s="4" t="s">
        <v>94</v>
      </c>
      <c r="D20" s="9">
        <v>0.999</v>
      </c>
      <c r="E20" s="8">
        <v>438</v>
      </c>
      <c r="F20" s="8">
        <v>538</v>
      </c>
      <c r="G20" s="8">
        <v>326</v>
      </c>
      <c r="H20" s="8">
        <v>39</v>
      </c>
      <c r="I20" s="8" t="s">
        <v>576</v>
      </c>
      <c r="J20" s="8">
        <v>32</v>
      </c>
      <c r="K20" s="4" t="s">
        <v>468</v>
      </c>
      <c r="L20" s="4" t="s">
        <v>578</v>
      </c>
      <c r="M20" s="4" t="s">
        <v>585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>
      <c r="A21" s="4" t="s">
        <v>604</v>
      </c>
      <c r="B21" s="4" t="s">
        <v>68</v>
      </c>
      <c r="C21" s="4" t="s">
        <v>88</v>
      </c>
      <c r="D21" s="9">
        <v>0.99909999999999999</v>
      </c>
      <c r="E21" s="8">
        <v>1</v>
      </c>
      <c r="F21" s="8">
        <v>548</v>
      </c>
      <c r="G21" s="8">
        <v>404</v>
      </c>
      <c r="H21" s="8">
        <v>36</v>
      </c>
      <c r="I21" s="8" t="s">
        <v>576</v>
      </c>
      <c r="J21" s="8">
        <v>30</v>
      </c>
      <c r="K21" s="4" t="s">
        <v>468</v>
      </c>
      <c r="L21" s="4" t="s">
        <v>578</v>
      </c>
      <c r="M21" s="4" t="s">
        <v>585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" customHeight="1">
      <c r="A22" s="4" t="s">
        <v>605</v>
      </c>
      <c r="B22" s="4" t="s">
        <v>68</v>
      </c>
      <c r="C22" s="4" t="s">
        <v>96</v>
      </c>
      <c r="D22" s="9">
        <v>0.99860000000000004</v>
      </c>
      <c r="E22" s="8">
        <v>435</v>
      </c>
      <c r="F22" s="8">
        <v>567</v>
      </c>
      <c r="G22" s="8">
        <v>295</v>
      </c>
      <c r="H22" s="8">
        <v>46</v>
      </c>
      <c r="I22" s="8" t="s">
        <v>576</v>
      </c>
      <c r="J22" s="8">
        <v>38</v>
      </c>
      <c r="K22" s="4" t="s">
        <v>468</v>
      </c>
      <c r="L22" s="4" t="s">
        <v>583</v>
      </c>
      <c r="M22" s="4" t="s">
        <v>585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" customHeight="1">
      <c r="A23" s="4" t="s">
        <v>606</v>
      </c>
      <c r="B23" s="4" t="s">
        <v>68</v>
      </c>
      <c r="C23" s="4" t="s">
        <v>90</v>
      </c>
      <c r="D23" s="9">
        <v>0.95989999999999998</v>
      </c>
      <c r="E23" s="8">
        <v>1</v>
      </c>
      <c r="F23" s="8">
        <v>581</v>
      </c>
      <c r="G23" s="8">
        <v>399</v>
      </c>
      <c r="H23" s="8">
        <v>37</v>
      </c>
      <c r="I23" s="8" t="s">
        <v>576</v>
      </c>
      <c r="J23" s="8">
        <v>30</v>
      </c>
      <c r="K23" s="4" t="s">
        <v>468</v>
      </c>
      <c r="L23" s="4" t="s">
        <v>578</v>
      </c>
      <c r="M23" s="4" t="s">
        <v>585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" customHeight="1">
      <c r="A24" s="4" t="s">
        <v>607</v>
      </c>
      <c r="B24" s="4" t="s">
        <v>68</v>
      </c>
      <c r="C24" s="4" t="s">
        <v>608</v>
      </c>
      <c r="D24" s="9">
        <v>0.93879999999999997</v>
      </c>
      <c r="E24" s="8">
        <v>436</v>
      </c>
      <c r="F24" s="8">
        <v>600</v>
      </c>
      <c r="G24" s="8">
        <v>295</v>
      </c>
      <c r="H24" s="8">
        <v>47</v>
      </c>
      <c r="I24" s="8" t="s">
        <v>576</v>
      </c>
      <c r="J24" s="8">
        <v>39</v>
      </c>
      <c r="K24" s="4" t="s">
        <v>468</v>
      </c>
      <c r="L24" s="4" t="s">
        <v>583</v>
      </c>
      <c r="M24" s="4" t="s">
        <v>585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6" customHeight="1">
      <c r="A25" s="4" t="s">
        <v>609</v>
      </c>
      <c r="B25" s="4" t="s">
        <v>68</v>
      </c>
      <c r="C25" s="4" t="s">
        <v>98</v>
      </c>
      <c r="D25" s="9">
        <v>0.999</v>
      </c>
      <c r="E25" s="8">
        <v>438</v>
      </c>
      <c r="F25" s="8">
        <v>605</v>
      </c>
      <c r="G25" s="8">
        <v>289</v>
      </c>
      <c r="H25" s="8">
        <v>37</v>
      </c>
      <c r="I25" s="8" t="s">
        <v>576</v>
      </c>
      <c r="J25" s="8">
        <v>30</v>
      </c>
      <c r="K25" s="4" t="s">
        <v>468</v>
      </c>
      <c r="L25" s="4" t="s">
        <v>578</v>
      </c>
      <c r="M25" s="4" t="s">
        <v>585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" customHeight="1">
      <c r="A26" s="4" t="s">
        <v>610</v>
      </c>
      <c r="B26" s="4" t="s">
        <v>68</v>
      </c>
      <c r="C26" s="4" t="s">
        <v>92</v>
      </c>
      <c r="D26" s="9">
        <v>0.99760000000000004</v>
      </c>
      <c r="E26" s="8">
        <v>0</v>
      </c>
      <c r="F26" s="8">
        <v>609</v>
      </c>
      <c r="G26" s="8">
        <v>402</v>
      </c>
      <c r="H26" s="8">
        <v>44</v>
      </c>
      <c r="I26" s="8" t="s">
        <v>576</v>
      </c>
      <c r="J26" s="8">
        <v>36</v>
      </c>
      <c r="K26" s="4" t="s">
        <v>468</v>
      </c>
      <c r="L26" s="4" t="s">
        <v>578</v>
      </c>
      <c r="M26" s="4" t="s">
        <v>585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customHeight="1">
      <c r="A27" s="4" t="s">
        <v>611</v>
      </c>
      <c r="B27" s="4" t="s">
        <v>68</v>
      </c>
      <c r="C27" s="4" t="s">
        <v>100</v>
      </c>
      <c r="D27" s="9">
        <v>0.99660000000000004</v>
      </c>
      <c r="E27" s="8">
        <v>437</v>
      </c>
      <c r="F27" s="8">
        <v>633</v>
      </c>
      <c r="G27" s="8">
        <v>290</v>
      </c>
      <c r="H27" s="8">
        <v>42</v>
      </c>
      <c r="I27" s="8" t="s">
        <v>576</v>
      </c>
      <c r="J27" s="8">
        <v>34</v>
      </c>
      <c r="K27" s="4" t="s">
        <v>473</v>
      </c>
      <c r="L27" s="4" t="s">
        <v>583</v>
      </c>
      <c r="M27" s="4" t="s">
        <v>585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6" customHeight="1">
      <c r="A28" s="4" t="s">
        <v>612</v>
      </c>
      <c r="B28" s="4" t="s">
        <v>68</v>
      </c>
      <c r="C28" s="4" t="s">
        <v>104</v>
      </c>
      <c r="D28" s="9">
        <v>0.99929999999999997</v>
      </c>
      <c r="E28" s="8">
        <v>437</v>
      </c>
      <c r="F28" s="8">
        <v>708</v>
      </c>
      <c r="G28" s="8">
        <v>258</v>
      </c>
      <c r="H28" s="8">
        <v>37</v>
      </c>
      <c r="I28" s="8" t="s">
        <v>576</v>
      </c>
      <c r="J28" s="8">
        <v>30</v>
      </c>
      <c r="K28" s="4" t="s">
        <v>473</v>
      </c>
      <c r="L28" s="4" t="s">
        <v>583</v>
      </c>
      <c r="M28" s="4" t="s">
        <v>585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customHeight="1">
      <c r="A29" s="4" t="s">
        <v>613</v>
      </c>
      <c r="B29" s="4" t="s">
        <v>125</v>
      </c>
      <c r="C29" s="4" t="s">
        <v>614</v>
      </c>
      <c r="D29" s="9">
        <v>0.68820000000000003</v>
      </c>
      <c r="E29" s="8">
        <v>867</v>
      </c>
      <c r="F29" s="8">
        <v>56</v>
      </c>
      <c r="G29" s="8">
        <v>34</v>
      </c>
      <c r="H29" s="8">
        <v>25</v>
      </c>
      <c r="I29" s="8" t="s">
        <v>576</v>
      </c>
      <c r="J29" s="8">
        <v>20</v>
      </c>
      <c r="K29" s="4" t="s">
        <v>615</v>
      </c>
      <c r="L29" s="4" t="s">
        <v>583</v>
      </c>
      <c r="M29" s="4" t="s">
        <v>579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" customHeight="1">
      <c r="A30" s="4" t="s">
        <v>616</v>
      </c>
      <c r="B30" s="4" t="s">
        <v>125</v>
      </c>
      <c r="C30" s="4" t="s">
        <v>617</v>
      </c>
      <c r="D30" s="9">
        <v>0.52810000000000001</v>
      </c>
      <c r="E30" s="8">
        <v>867</v>
      </c>
      <c r="F30" s="8">
        <v>56</v>
      </c>
      <c r="G30" s="8">
        <v>32</v>
      </c>
      <c r="H30" s="8">
        <v>24</v>
      </c>
      <c r="I30" s="8" t="s">
        <v>576</v>
      </c>
      <c r="J30" s="8">
        <v>20</v>
      </c>
      <c r="K30" s="4" t="s">
        <v>618</v>
      </c>
      <c r="L30" s="4" t="s">
        <v>578</v>
      </c>
      <c r="M30" s="4" t="s">
        <v>579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" customHeight="1">
      <c r="A31" s="4" t="s">
        <v>619</v>
      </c>
      <c r="B31" s="4" t="s">
        <v>125</v>
      </c>
      <c r="C31" s="4" t="s">
        <v>620</v>
      </c>
      <c r="D31" s="9">
        <v>0.58069999999999999</v>
      </c>
      <c r="E31" s="8">
        <v>1009</v>
      </c>
      <c r="F31" s="8">
        <v>58</v>
      </c>
      <c r="G31" s="8">
        <v>30</v>
      </c>
      <c r="H31" s="8">
        <v>21</v>
      </c>
      <c r="I31" s="8" t="s">
        <v>576</v>
      </c>
      <c r="J31" s="8">
        <v>17</v>
      </c>
      <c r="K31" s="4" t="s">
        <v>621</v>
      </c>
      <c r="L31" s="4" t="s">
        <v>578</v>
      </c>
      <c r="M31" s="4" t="s">
        <v>579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6" customHeight="1">
      <c r="A32" s="4" t="s">
        <v>622</v>
      </c>
      <c r="B32" s="4" t="s">
        <v>125</v>
      </c>
      <c r="C32" s="4" t="s">
        <v>617</v>
      </c>
      <c r="D32" s="9">
        <v>0.45689999999999997</v>
      </c>
      <c r="E32" s="8">
        <v>868</v>
      </c>
      <c r="F32" s="8">
        <v>104</v>
      </c>
      <c r="G32" s="8">
        <v>31</v>
      </c>
      <c r="H32" s="8">
        <v>25</v>
      </c>
      <c r="I32" s="8" t="s">
        <v>576</v>
      </c>
      <c r="J32" s="8">
        <v>20</v>
      </c>
      <c r="K32" s="4" t="s">
        <v>623</v>
      </c>
      <c r="L32" s="4" t="s">
        <v>583</v>
      </c>
      <c r="M32" s="4" t="s">
        <v>579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" customHeight="1">
      <c r="A33" s="4" t="s">
        <v>624</v>
      </c>
      <c r="B33" s="4" t="s">
        <v>125</v>
      </c>
      <c r="C33" s="4" t="s">
        <v>620</v>
      </c>
      <c r="D33" s="9">
        <v>0.57289999999999996</v>
      </c>
      <c r="E33" s="8">
        <v>1009</v>
      </c>
      <c r="F33" s="8">
        <v>106</v>
      </c>
      <c r="G33" s="8">
        <v>30</v>
      </c>
      <c r="H33" s="8">
        <v>21</v>
      </c>
      <c r="I33" s="8" t="s">
        <v>576</v>
      </c>
      <c r="J33" s="8">
        <v>17</v>
      </c>
      <c r="K33" s="4" t="s">
        <v>625</v>
      </c>
      <c r="L33" s="4" t="s">
        <v>583</v>
      </c>
      <c r="M33" s="4" t="s">
        <v>579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6" customHeight="1">
      <c r="A34" s="4" t="s">
        <v>626</v>
      </c>
      <c r="B34" s="4" t="s">
        <v>125</v>
      </c>
      <c r="C34" s="4" t="s">
        <v>627</v>
      </c>
      <c r="D34" s="9">
        <v>0.99750000000000005</v>
      </c>
      <c r="E34" s="8">
        <v>1023</v>
      </c>
      <c r="F34" s="8">
        <v>171</v>
      </c>
      <c r="G34" s="8">
        <v>32</v>
      </c>
      <c r="H34" s="8">
        <v>26</v>
      </c>
      <c r="I34" s="8" t="s">
        <v>576</v>
      </c>
      <c r="J34" s="8">
        <v>21</v>
      </c>
      <c r="K34" s="4" t="s">
        <v>489</v>
      </c>
      <c r="L34" s="4" t="s">
        <v>583</v>
      </c>
      <c r="M34" s="4" t="s">
        <v>585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6" customHeight="1">
      <c r="A35" s="4" t="s">
        <v>628</v>
      </c>
      <c r="B35" s="4" t="s">
        <v>125</v>
      </c>
      <c r="C35" s="4" t="s">
        <v>627</v>
      </c>
      <c r="D35" s="9">
        <v>0.84179999999999999</v>
      </c>
      <c r="E35" s="8">
        <v>1000</v>
      </c>
      <c r="F35" s="8">
        <v>174</v>
      </c>
      <c r="G35" s="8">
        <v>29</v>
      </c>
      <c r="H35" s="8">
        <v>20</v>
      </c>
      <c r="I35" s="8" t="s">
        <v>576</v>
      </c>
      <c r="J35" s="8">
        <v>16</v>
      </c>
      <c r="K35" s="4" t="s">
        <v>487</v>
      </c>
      <c r="L35" s="4" t="s">
        <v>583</v>
      </c>
      <c r="M35" s="4" t="s">
        <v>579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6" customHeight="1">
      <c r="A36" s="4" t="s">
        <v>629</v>
      </c>
      <c r="B36" s="4" t="s">
        <v>125</v>
      </c>
      <c r="C36" s="4" t="s">
        <v>630</v>
      </c>
      <c r="D36" s="9">
        <v>0.60129999999999995</v>
      </c>
      <c r="E36" s="8">
        <v>995</v>
      </c>
      <c r="F36" s="8">
        <v>190</v>
      </c>
      <c r="G36" s="8">
        <v>63</v>
      </c>
      <c r="H36" s="8">
        <v>40</v>
      </c>
      <c r="I36" s="8" t="s">
        <v>576</v>
      </c>
      <c r="J36" s="8">
        <v>33</v>
      </c>
      <c r="K36" s="4" t="s">
        <v>487</v>
      </c>
      <c r="L36" s="4" t="s">
        <v>583</v>
      </c>
      <c r="M36" s="4" t="s">
        <v>579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6" customHeight="1">
      <c r="A37" s="4" t="s">
        <v>631</v>
      </c>
      <c r="B37" s="4" t="s">
        <v>125</v>
      </c>
      <c r="C37" s="4" t="s">
        <v>632</v>
      </c>
      <c r="D37" s="9">
        <v>0.751</v>
      </c>
      <c r="E37" s="8">
        <v>1015</v>
      </c>
      <c r="F37" s="8">
        <v>213</v>
      </c>
      <c r="G37" s="8">
        <v>44</v>
      </c>
      <c r="H37" s="8">
        <v>42</v>
      </c>
      <c r="I37" s="8" t="s">
        <v>576</v>
      </c>
      <c r="J37" s="8">
        <v>34</v>
      </c>
      <c r="K37" s="4" t="s">
        <v>489</v>
      </c>
      <c r="L37" s="4" t="s">
        <v>583</v>
      </c>
      <c r="M37" s="4" t="s">
        <v>579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6" customHeight="1">
      <c r="A38" s="4" t="s">
        <v>633</v>
      </c>
      <c r="B38" s="4" t="s">
        <v>125</v>
      </c>
      <c r="C38" s="4" t="s">
        <v>634</v>
      </c>
      <c r="D38" s="9">
        <v>0.42259999999999998</v>
      </c>
      <c r="E38" s="8">
        <v>1000</v>
      </c>
      <c r="F38" s="8">
        <v>222</v>
      </c>
      <c r="G38" s="8">
        <v>30</v>
      </c>
      <c r="H38" s="8">
        <v>25</v>
      </c>
      <c r="I38" s="8" t="s">
        <v>576</v>
      </c>
      <c r="J38" s="8">
        <v>20</v>
      </c>
      <c r="K38" s="4" t="s">
        <v>487</v>
      </c>
      <c r="L38" s="4" t="s">
        <v>583</v>
      </c>
      <c r="M38" s="4" t="s">
        <v>579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6" customHeight="1">
      <c r="A39" s="4" t="s">
        <v>635</v>
      </c>
      <c r="B39" s="4" t="s">
        <v>125</v>
      </c>
      <c r="C39" s="4" t="s">
        <v>636</v>
      </c>
      <c r="D39" s="9">
        <v>0.62170000000000003</v>
      </c>
      <c r="E39" s="8">
        <v>998</v>
      </c>
      <c r="F39" s="8">
        <v>273</v>
      </c>
      <c r="G39" s="8">
        <v>60</v>
      </c>
      <c r="H39" s="8">
        <v>35</v>
      </c>
      <c r="I39" s="8" t="s">
        <v>576</v>
      </c>
      <c r="J39" s="8">
        <v>29</v>
      </c>
      <c r="K39" s="4" t="s">
        <v>487</v>
      </c>
      <c r="L39" s="4" t="s">
        <v>583</v>
      </c>
      <c r="M39" s="4" t="s">
        <v>579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6" customHeight="1">
      <c r="A40" s="4" t="s">
        <v>637</v>
      </c>
      <c r="B40" s="4" t="s">
        <v>125</v>
      </c>
      <c r="C40" s="4" t="s">
        <v>638</v>
      </c>
      <c r="D40" s="9">
        <v>0.40479999999999999</v>
      </c>
      <c r="E40" s="8">
        <v>997</v>
      </c>
      <c r="F40" s="8">
        <v>292</v>
      </c>
      <c r="G40" s="8">
        <v>84</v>
      </c>
      <c r="H40" s="8">
        <v>41</v>
      </c>
      <c r="I40" s="8" t="s">
        <v>576</v>
      </c>
      <c r="J40" s="8">
        <v>34</v>
      </c>
      <c r="K40" s="4" t="s">
        <v>639</v>
      </c>
      <c r="L40" s="4" t="s">
        <v>583</v>
      </c>
      <c r="M40" s="4" t="s">
        <v>579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6" customHeight="1">
      <c r="A41" s="4" t="s">
        <v>640</v>
      </c>
      <c r="B41" s="4" t="s">
        <v>125</v>
      </c>
      <c r="C41" s="4" t="s">
        <v>124</v>
      </c>
      <c r="D41" s="9">
        <v>0.99839999999999995</v>
      </c>
      <c r="E41" s="8">
        <v>25</v>
      </c>
      <c r="F41" s="8">
        <v>349</v>
      </c>
      <c r="G41" s="8">
        <v>90</v>
      </c>
      <c r="H41" s="8">
        <v>24</v>
      </c>
      <c r="I41" s="8" t="s">
        <v>576</v>
      </c>
      <c r="J41" s="8">
        <v>20</v>
      </c>
      <c r="K41" s="4" t="s">
        <v>476</v>
      </c>
      <c r="L41" s="4" t="s">
        <v>583</v>
      </c>
      <c r="M41" s="4" t="s">
        <v>585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6" customHeight="1">
      <c r="A42" s="4" t="s">
        <v>641</v>
      </c>
      <c r="B42" s="4" t="s">
        <v>125</v>
      </c>
      <c r="C42" s="4" t="s">
        <v>129</v>
      </c>
      <c r="D42" s="9">
        <v>0.99399999999999999</v>
      </c>
      <c r="E42" s="8">
        <v>25</v>
      </c>
      <c r="F42" s="8">
        <v>389</v>
      </c>
      <c r="G42" s="8">
        <v>134</v>
      </c>
      <c r="H42" s="8">
        <v>24</v>
      </c>
      <c r="I42" s="8" t="s">
        <v>576</v>
      </c>
      <c r="J42" s="8">
        <v>20</v>
      </c>
      <c r="K42" s="4" t="s">
        <v>477</v>
      </c>
      <c r="L42" s="4" t="s">
        <v>578</v>
      </c>
      <c r="M42" s="4" t="s">
        <v>585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6" customHeight="1">
      <c r="A43" s="4" t="s">
        <v>642</v>
      </c>
      <c r="B43" s="4" t="s">
        <v>125</v>
      </c>
      <c r="C43" s="4" t="s">
        <v>131</v>
      </c>
      <c r="D43" s="9">
        <v>0.97509999999999997</v>
      </c>
      <c r="E43" s="8">
        <v>26</v>
      </c>
      <c r="F43" s="8">
        <v>430</v>
      </c>
      <c r="G43" s="8">
        <v>135</v>
      </c>
      <c r="H43" s="8">
        <v>21</v>
      </c>
      <c r="I43" s="8" t="s">
        <v>576</v>
      </c>
      <c r="J43" s="8">
        <v>17</v>
      </c>
      <c r="K43" s="4" t="s">
        <v>478</v>
      </c>
      <c r="L43" s="4" t="s">
        <v>578</v>
      </c>
      <c r="M43" s="4" t="s">
        <v>585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6" customHeight="1">
      <c r="A44" s="4" t="s">
        <v>643</v>
      </c>
      <c r="B44" s="4" t="s">
        <v>125</v>
      </c>
      <c r="C44" s="4" t="s">
        <v>644</v>
      </c>
      <c r="D44" s="9">
        <v>0.55569999999999997</v>
      </c>
      <c r="E44" s="8">
        <v>643</v>
      </c>
      <c r="F44" s="8">
        <v>537</v>
      </c>
      <c r="G44" s="8">
        <v>48</v>
      </c>
      <c r="H44" s="8">
        <v>48</v>
      </c>
      <c r="I44" s="8" t="s">
        <v>576</v>
      </c>
      <c r="J44" s="8">
        <v>39</v>
      </c>
      <c r="K44" s="4" t="s">
        <v>645</v>
      </c>
      <c r="L44" s="4" t="s">
        <v>583</v>
      </c>
      <c r="M44" s="4" t="s">
        <v>579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6" customHeight="1">
      <c r="A45" s="4" t="s">
        <v>646</v>
      </c>
      <c r="B45" s="4" t="s">
        <v>125</v>
      </c>
      <c r="C45" s="4" t="s">
        <v>647</v>
      </c>
      <c r="D45" s="9">
        <v>0.97750000000000004</v>
      </c>
      <c r="E45" s="8">
        <v>654</v>
      </c>
      <c r="F45" s="8">
        <v>543</v>
      </c>
      <c r="G45" s="8">
        <v>26</v>
      </c>
      <c r="H45" s="8">
        <v>32</v>
      </c>
      <c r="I45" s="8" t="s">
        <v>576</v>
      </c>
      <c r="J45" s="8">
        <v>26</v>
      </c>
      <c r="K45" s="4" t="s">
        <v>479</v>
      </c>
      <c r="L45" s="4" t="s">
        <v>578</v>
      </c>
      <c r="M45" s="4" t="s">
        <v>585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6" customHeight="1">
      <c r="A46" s="4" t="s">
        <v>648</v>
      </c>
      <c r="B46" s="4" t="s">
        <v>125</v>
      </c>
      <c r="C46" s="4" t="s">
        <v>649</v>
      </c>
      <c r="D46" s="9">
        <v>0.96460000000000001</v>
      </c>
      <c r="E46" s="8">
        <v>707</v>
      </c>
      <c r="F46" s="8">
        <v>544</v>
      </c>
      <c r="G46" s="8">
        <v>121</v>
      </c>
      <c r="H46" s="8">
        <v>41</v>
      </c>
      <c r="I46" s="8" t="s">
        <v>576</v>
      </c>
      <c r="J46" s="8">
        <v>34</v>
      </c>
      <c r="K46" s="4" t="s">
        <v>650</v>
      </c>
      <c r="L46" s="4" t="s">
        <v>578</v>
      </c>
      <c r="M46" s="4" t="s">
        <v>585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6" customHeight="1">
      <c r="A47" s="4" t="s">
        <v>651</v>
      </c>
      <c r="B47" s="4" t="s">
        <v>125</v>
      </c>
      <c r="C47" s="4" t="s">
        <v>652</v>
      </c>
      <c r="D47" s="9">
        <v>0.75009999999999999</v>
      </c>
      <c r="E47" s="8">
        <v>590</v>
      </c>
      <c r="F47" s="8">
        <v>548</v>
      </c>
      <c r="G47" s="8">
        <v>64</v>
      </c>
      <c r="H47" s="8">
        <v>30</v>
      </c>
      <c r="I47" s="8" t="s">
        <v>576</v>
      </c>
      <c r="J47" s="8">
        <v>25</v>
      </c>
      <c r="K47" s="4" t="s">
        <v>653</v>
      </c>
      <c r="L47" s="4" t="s">
        <v>583</v>
      </c>
      <c r="M47" s="4" t="s">
        <v>579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6" customHeight="1">
      <c r="A48" s="4" t="s">
        <v>654</v>
      </c>
      <c r="B48" s="4" t="s">
        <v>125</v>
      </c>
      <c r="C48" s="4" t="s">
        <v>655</v>
      </c>
      <c r="D48" s="9">
        <v>0.79710000000000003</v>
      </c>
      <c r="E48" s="8">
        <v>590</v>
      </c>
      <c r="F48" s="8">
        <v>549</v>
      </c>
      <c r="G48" s="8">
        <v>65</v>
      </c>
      <c r="H48" s="8">
        <v>30</v>
      </c>
      <c r="I48" s="8" t="s">
        <v>576</v>
      </c>
      <c r="J48" s="8">
        <v>25</v>
      </c>
      <c r="K48" s="4" t="s">
        <v>653</v>
      </c>
      <c r="L48" s="4" t="s">
        <v>578</v>
      </c>
      <c r="M48" s="4" t="s">
        <v>579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6" customHeight="1">
      <c r="A49" s="4" t="s">
        <v>656</v>
      </c>
      <c r="B49" s="4" t="s">
        <v>125</v>
      </c>
      <c r="C49" s="4" t="s">
        <v>657</v>
      </c>
      <c r="D49" s="9">
        <v>0.83979999999999999</v>
      </c>
      <c r="E49" s="8">
        <v>677</v>
      </c>
      <c r="F49" s="8">
        <v>562</v>
      </c>
      <c r="G49" s="8">
        <v>38</v>
      </c>
      <c r="H49" s="8">
        <v>24</v>
      </c>
      <c r="I49" s="8" t="s">
        <v>576</v>
      </c>
      <c r="J49" s="8">
        <v>20</v>
      </c>
      <c r="K49" s="4" t="s">
        <v>658</v>
      </c>
      <c r="L49" s="4" t="s">
        <v>578</v>
      </c>
      <c r="M49" s="4" t="s">
        <v>579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6" customHeight="1">
      <c r="A50" s="4" t="s">
        <v>659</v>
      </c>
      <c r="B50" s="4" t="s">
        <v>125</v>
      </c>
      <c r="C50" s="4" t="s">
        <v>660</v>
      </c>
      <c r="D50" s="9">
        <v>0.55349999999999999</v>
      </c>
      <c r="E50" s="8">
        <v>476</v>
      </c>
      <c r="F50" s="8">
        <v>580</v>
      </c>
      <c r="G50" s="8">
        <v>55</v>
      </c>
      <c r="H50" s="8">
        <v>249</v>
      </c>
      <c r="I50" s="8" t="s">
        <v>661</v>
      </c>
      <c r="J50" s="8">
        <v>204</v>
      </c>
      <c r="K50" s="4" t="s">
        <v>662</v>
      </c>
      <c r="L50" s="4" t="s">
        <v>578</v>
      </c>
      <c r="M50" s="4" t="s">
        <v>579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6" customHeight="1">
      <c r="A51" s="4" t="s">
        <v>663</v>
      </c>
      <c r="B51" s="4" t="s">
        <v>125</v>
      </c>
      <c r="C51" s="4" t="s">
        <v>664</v>
      </c>
      <c r="D51" s="9">
        <v>0.99719999999999998</v>
      </c>
      <c r="E51" s="8">
        <v>722</v>
      </c>
      <c r="F51" s="8">
        <v>581</v>
      </c>
      <c r="G51" s="8">
        <v>100</v>
      </c>
      <c r="H51" s="8">
        <v>7</v>
      </c>
      <c r="I51" s="8" t="s">
        <v>576</v>
      </c>
      <c r="J51" s="8">
        <v>6</v>
      </c>
      <c r="K51" s="4" t="s">
        <v>480</v>
      </c>
      <c r="L51" s="4" t="s">
        <v>583</v>
      </c>
      <c r="M51" s="4" t="s">
        <v>585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6" customHeight="1">
      <c r="A52" s="4" t="s">
        <v>665</v>
      </c>
      <c r="B52" s="4" t="s">
        <v>125</v>
      </c>
      <c r="C52" s="4" t="s">
        <v>666</v>
      </c>
      <c r="D52" s="9">
        <v>0.95799999999999996</v>
      </c>
      <c r="E52" s="8">
        <v>486</v>
      </c>
      <c r="F52" s="8">
        <v>590</v>
      </c>
      <c r="G52" s="8">
        <v>36</v>
      </c>
      <c r="H52" s="8">
        <v>42</v>
      </c>
      <c r="I52" s="8" t="s">
        <v>576</v>
      </c>
      <c r="J52" s="8">
        <v>34</v>
      </c>
      <c r="K52" s="4" t="s">
        <v>667</v>
      </c>
      <c r="L52" s="4" t="s">
        <v>583</v>
      </c>
      <c r="M52" s="4" t="s">
        <v>585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6" customHeight="1">
      <c r="A53" s="4" t="s">
        <v>668</v>
      </c>
      <c r="B53" s="4" t="s">
        <v>125</v>
      </c>
      <c r="C53" s="4" t="s">
        <v>669</v>
      </c>
      <c r="D53" s="9">
        <v>0.95669999999999999</v>
      </c>
      <c r="E53" s="8">
        <v>663</v>
      </c>
      <c r="F53" s="8">
        <v>613</v>
      </c>
      <c r="G53" s="8">
        <v>85</v>
      </c>
      <c r="H53" s="8">
        <v>14</v>
      </c>
      <c r="I53" s="8" t="s">
        <v>576</v>
      </c>
      <c r="J53" s="8">
        <v>11</v>
      </c>
      <c r="K53" s="4" t="s">
        <v>481</v>
      </c>
      <c r="L53" s="4" t="s">
        <v>578</v>
      </c>
      <c r="M53" s="4" t="s">
        <v>585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6" customHeight="1">
      <c r="A54" s="4" t="s">
        <v>670</v>
      </c>
      <c r="B54" s="4" t="s">
        <v>125</v>
      </c>
      <c r="C54" s="4" t="s">
        <v>146</v>
      </c>
      <c r="D54" s="9">
        <v>0.99929999999999997</v>
      </c>
      <c r="E54" s="8">
        <v>599</v>
      </c>
      <c r="F54" s="8">
        <v>640</v>
      </c>
      <c r="G54" s="8">
        <v>456</v>
      </c>
      <c r="H54" s="8">
        <v>61</v>
      </c>
      <c r="I54" s="8" t="s">
        <v>576</v>
      </c>
      <c r="J54" s="8">
        <v>50</v>
      </c>
      <c r="K54" s="4" t="s">
        <v>482</v>
      </c>
      <c r="L54" s="4" t="s">
        <v>583</v>
      </c>
      <c r="M54" s="4" t="s">
        <v>585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6" customHeight="1">
      <c r="A55" s="4" t="s">
        <v>671</v>
      </c>
      <c r="B55" s="4" t="s">
        <v>125</v>
      </c>
      <c r="C55" s="4" t="s">
        <v>151</v>
      </c>
      <c r="D55" s="9">
        <v>0.98640000000000005</v>
      </c>
      <c r="E55" s="8">
        <v>873</v>
      </c>
      <c r="F55" s="8">
        <v>706</v>
      </c>
      <c r="G55" s="8">
        <v>216</v>
      </c>
      <c r="H55" s="8">
        <v>21</v>
      </c>
      <c r="I55" s="8" t="s">
        <v>576</v>
      </c>
      <c r="J55" s="8">
        <v>17</v>
      </c>
      <c r="K55" s="4" t="s">
        <v>468</v>
      </c>
      <c r="L55" s="4" t="s">
        <v>583</v>
      </c>
      <c r="M55" s="4" t="s">
        <v>585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6" customHeight="1">
      <c r="A56" s="4" t="s">
        <v>672</v>
      </c>
      <c r="B56" s="4" t="s">
        <v>125</v>
      </c>
      <c r="C56" s="4" t="s">
        <v>151</v>
      </c>
      <c r="D56" s="9">
        <v>0.96289999999999998</v>
      </c>
      <c r="E56" s="8">
        <v>869</v>
      </c>
      <c r="F56" s="8">
        <v>729</v>
      </c>
      <c r="G56" s="8">
        <v>222</v>
      </c>
      <c r="H56" s="8">
        <v>26</v>
      </c>
      <c r="I56" s="8" t="s">
        <v>576</v>
      </c>
      <c r="J56" s="8">
        <v>21</v>
      </c>
      <c r="K56" s="4" t="s">
        <v>483</v>
      </c>
      <c r="L56" s="4" t="s">
        <v>583</v>
      </c>
      <c r="M56" s="4" t="s">
        <v>585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6" customHeight="1">
      <c r="A57" s="4" t="s">
        <v>673</v>
      </c>
      <c r="B57" s="4" t="s">
        <v>125</v>
      </c>
      <c r="C57" s="4" t="s">
        <v>674</v>
      </c>
      <c r="D57" s="9">
        <v>0.99109999999999998</v>
      </c>
      <c r="E57" s="8">
        <v>870</v>
      </c>
      <c r="F57" s="8">
        <v>729</v>
      </c>
      <c r="G57" s="8">
        <v>221</v>
      </c>
      <c r="H57" s="8">
        <v>26</v>
      </c>
      <c r="I57" s="8" t="s">
        <v>576</v>
      </c>
      <c r="J57" s="8">
        <v>21</v>
      </c>
      <c r="K57" s="4" t="s">
        <v>483</v>
      </c>
      <c r="L57" s="4" t="s">
        <v>578</v>
      </c>
      <c r="M57" s="4" t="s">
        <v>585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6" customHeight="1">
      <c r="A58" s="4" t="s">
        <v>675</v>
      </c>
      <c r="B58" s="4" t="s">
        <v>125</v>
      </c>
      <c r="C58" s="4" t="s">
        <v>153</v>
      </c>
      <c r="D58" s="9">
        <v>0.99939999999999996</v>
      </c>
      <c r="E58" s="8">
        <v>631</v>
      </c>
      <c r="F58" s="8">
        <v>757</v>
      </c>
      <c r="G58" s="8">
        <v>188</v>
      </c>
      <c r="H58" s="8">
        <v>60</v>
      </c>
      <c r="I58" s="8" t="s">
        <v>576</v>
      </c>
      <c r="J58" s="8">
        <v>49</v>
      </c>
      <c r="K58" s="4" t="s">
        <v>484</v>
      </c>
      <c r="L58" s="4" t="s">
        <v>583</v>
      </c>
      <c r="M58" s="4" t="s">
        <v>585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6" customHeight="1">
      <c r="A59" s="4" t="s">
        <v>676</v>
      </c>
      <c r="B59" s="4" t="s">
        <v>125</v>
      </c>
      <c r="C59" s="4" t="s">
        <v>677</v>
      </c>
      <c r="D59" s="9">
        <v>0.78029999999999999</v>
      </c>
      <c r="E59" s="8">
        <v>524</v>
      </c>
      <c r="F59" s="8">
        <v>775</v>
      </c>
      <c r="G59" s="8">
        <v>39</v>
      </c>
      <c r="H59" s="8">
        <v>68</v>
      </c>
      <c r="I59" s="8" t="s">
        <v>576</v>
      </c>
      <c r="J59" s="8">
        <v>56</v>
      </c>
      <c r="K59" s="4" t="s">
        <v>678</v>
      </c>
      <c r="L59" s="4" t="s">
        <v>578</v>
      </c>
      <c r="M59" s="4" t="s">
        <v>579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6" customHeight="1">
      <c r="A60" s="4" t="s">
        <v>679</v>
      </c>
      <c r="B60" s="4" t="s">
        <v>125</v>
      </c>
      <c r="C60" s="4" t="s">
        <v>680</v>
      </c>
      <c r="D60" s="9">
        <v>0.59660000000000002</v>
      </c>
      <c r="E60" s="8">
        <v>524</v>
      </c>
      <c r="F60" s="8">
        <v>775</v>
      </c>
      <c r="G60" s="8">
        <v>39</v>
      </c>
      <c r="H60" s="8">
        <v>69</v>
      </c>
      <c r="I60" s="8" t="s">
        <v>576</v>
      </c>
      <c r="J60" s="8">
        <v>57</v>
      </c>
      <c r="K60" s="4" t="s">
        <v>678</v>
      </c>
      <c r="L60" s="4" t="s">
        <v>583</v>
      </c>
      <c r="M60" s="4" t="s">
        <v>579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6" customHeight="1">
      <c r="A61" s="4" t="s">
        <v>681</v>
      </c>
      <c r="B61" s="4" t="s">
        <v>125</v>
      </c>
      <c r="C61" s="4" t="s">
        <v>158</v>
      </c>
      <c r="D61" s="9">
        <v>0.91239999999999999</v>
      </c>
      <c r="E61" s="8">
        <v>629</v>
      </c>
      <c r="F61" s="8">
        <v>812</v>
      </c>
      <c r="G61" s="8">
        <v>188</v>
      </c>
      <c r="H61" s="8">
        <v>68</v>
      </c>
      <c r="I61" s="8" t="s">
        <v>576</v>
      </c>
      <c r="J61" s="8">
        <v>56</v>
      </c>
      <c r="K61" s="4" t="s">
        <v>485</v>
      </c>
      <c r="L61" s="4" t="s">
        <v>583</v>
      </c>
      <c r="M61" s="4" t="s">
        <v>585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6" customHeight="1">
      <c r="A62" s="4" t="s">
        <v>682</v>
      </c>
      <c r="B62" s="4" t="s">
        <v>125</v>
      </c>
      <c r="C62" s="4" t="s">
        <v>683</v>
      </c>
      <c r="D62" s="9">
        <v>0.99039999999999995</v>
      </c>
      <c r="E62" s="8">
        <v>734</v>
      </c>
      <c r="F62" s="8">
        <v>814</v>
      </c>
      <c r="G62" s="8">
        <v>77</v>
      </c>
      <c r="H62" s="8">
        <v>64</v>
      </c>
      <c r="I62" s="8" t="s">
        <v>576</v>
      </c>
      <c r="J62" s="8">
        <v>52</v>
      </c>
      <c r="K62" s="4" t="s">
        <v>684</v>
      </c>
      <c r="L62" s="4" t="s">
        <v>578</v>
      </c>
      <c r="M62" s="4" t="s">
        <v>585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6" customHeight="1">
      <c r="A63" s="4" t="s">
        <v>685</v>
      </c>
      <c r="B63" s="4" t="s">
        <v>125</v>
      </c>
      <c r="C63" s="4" t="s">
        <v>151</v>
      </c>
      <c r="D63" s="9">
        <v>0.98560000000000003</v>
      </c>
      <c r="E63" s="8">
        <v>319</v>
      </c>
      <c r="F63" s="8">
        <v>855</v>
      </c>
      <c r="G63" s="8">
        <v>218</v>
      </c>
      <c r="H63" s="8">
        <v>22</v>
      </c>
      <c r="I63" s="8" t="s">
        <v>576</v>
      </c>
      <c r="J63" s="8">
        <v>18</v>
      </c>
      <c r="K63" s="4" t="s">
        <v>686</v>
      </c>
      <c r="L63" s="4" t="s">
        <v>583</v>
      </c>
      <c r="M63" s="4" t="s">
        <v>585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6" customHeight="1">
      <c r="A64" s="4" t="s">
        <v>687</v>
      </c>
      <c r="B64" s="4" t="s">
        <v>125</v>
      </c>
      <c r="C64" s="4" t="s">
        <v>151</v>
      </c>
      <c r="D64" s="9">
        <v>0.99650000000000005</v>
      </c>
      <c r="E64" s="8">
        <v>320</v>
      </c>
      <c r="F64" s="8">
        <v>879</v>
      </c>
      <c r="G64" s="8">
        <v>218</v>
      </c>
      <c r="H64" s="8">
        <v>20</v>
      </c>
      <c r="I64" s="8" t="s">
        <v>576</v>
      </c>
      <c r="J64" s="8">
        <v>16</v>
      </c>
      <c r="K64" s="4" t="s">
        <v>483</v>
      </c>
      <c r="L64" s="4" t="s">
        <v>583</v>
      </c>
      <c r="M64" s="4" t="s">
        <v>585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6" customHeight="1">
      <c r="A65" s="4" t="s">
        <v>688</v>
      </c>
      <c r="B65" s="4" t="s">
        <v>125</v>
      </c>
      <c r="C65" s="4" t="s">
        <v>160</v>
      </c>
      <c r="D65" s="9">
        <v>0.97650000000000003</v>
      </c>
      <c r="E65" s="8">
        <v>323</v>
      </c>
      <c r="F65" s="8">
        <v>904</v>
      </c>
      <c r="G65" s="8">
        <v>175</v>
      </c>
      <c r="H65" s="8">
        <v>20</v>
      </c>
      <c r="I65" s="8" t="s">
        <v>576</v>
      </c>
      <c r="J65" s="8">
        <v>16</v>
      </c>
      <c r="K65" s="4" t="s">
        <v>483</v>
      </c>
      <c r="L65" s="4" t="s">
        <v>583</v>
      </c>
      <c r="M65" s="4" t="s">
        <v>585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6" customHeight="1">
      <c r="A66" s="4" t="s">
        <v>689</v>
      </c>
      <c r="B66" s="4" t="s">
        <v>125</v>
      </c>
      <c r="C66" s="4" t="s">
        <v>160</v>
      </c>
      <c r="D66" s="9">
        <v>0.99419999999999997</v>
      </c>
      <c r="E66" s="8">
        <v>324</v>
      </c>
      <c r="F66" s="8">
        <v>951</v>
      </c>
      <c r="G66" s="8">
        <v>172</v>
      </c>
      <c r="H66" s="8">
        <v>21</v>
      </c>
      <c r="I66" s="8" t="s">
        <v>576</v>
      </c>
      <c r="J66" s="8">
        <v>17</v>
      </c>
      <c r="K66" s="4" t="s">
        <v>468</v>
      </c>
      <c r="L66" s="4" t="s">
        <v>578</v>
      </c>
      <c r="M66" s="4" t="s">
        <v>585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6" customHeight="1">
      <c r="A67" s="4" t="s">
        <v>690</v>
      </c>
      <c r="B67" s="4" t="s">
        <v>125</v>
      </c>
      <c r="C67" s="4" t="s">
        <v>160</v>
      </c>
      <c r="D67" s="9">
        <v>0.96970000000000001</v>
      </c>
      <c r="E67" s="8">
        <v>321</v>
      </c>
      <c r="F67" s="8">
        <v>973</v>
      </c>
      <c r="G67" s="8">
        <v>175</v>
      </c>
      <c r="H67" s="8">
        <v>20</v>
      </c>
      <c r="I67" s="8" t="s">
        <v>576</v>
      </c>
      <c r="J67" s="8">
        <v>16</v>
      </c>
      <c r="K67" s="4" t="s">
        <v>483</v>
      </c>
      <c r="L67" s="4" t="s">
        <v>578</v>
      </c>
      <c r="M67" s="4" t="s">
        <v>585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" customHeight="1">
      <c r="A68" s="4" t="s">
        <v>691</v>
      </c>
      <c r="B68" s="4" t="s">
        <v>125</v>
      </c>
      <c r="C68" s="4" t="s">
        <v>692</v>
      </c>
      <c r="D68" s="9">
        <v>0.96409999999999996</v>
      </c>
      <c r="E68" s="8">
        <v>322</v>
      </c>
      <c r="F68" s="8">
        <v>975</v>
      </c>
      <c r="G68" s="8">
        <v>173</v>
      </c>
      <c r="H68" s="8">
        <v>17</v>
      </c>
      <c r="I68" s="8" t="s">
        <v>576</v>
      </c>
      <c r="J68" s="8">
        <v>14</v>
      </c>
      <c r="K68" s="4" t="s">
        <v>483</v>
      </c>
      <c r="L68" s="4" t="s">
        <v>583</v>
      </c>
      <c r="M68" s="4" t="s">
        <v>585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6" customHeight="1">
      <c r="A69" s="4" t="s">
        <v>693</v>
      </c>
      <c r="B69" s="4" t="s">
        <v>125</v>
      </c>
      <c r="C69" s="4" t="s">
        <v>692</v>
      </c>
      <c r="D69" s="9">
        <v>0.97030000000000005</v>
      </c>
      <c r="E69" s="8">
        <v>319</v>
      </c>
      <c r="F69" s="8">
        <v>994</v>
      </c>
      <c r="G69" s="8">
        <v>177</v>
      </c>
      <c r="H69" s="8">
        <v>22</v>
      </c>
      <c r="I69" s="8" t="s">
        <v>576</v>
      </c>
      <c r="J69" s="8">
        <v>18</v>
      </c>
      <c r="K69" s="4" t="s">
        <v>694</v>
      </c>
      <c r="L69" s="4" t="s">
        <v>583</v>
      </c>
      <c r="M69" s="4" t="s">
        <v>585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" customHeight="1">
      <c r="A70" s="4" t="s">
        <v>695</v>
      </c>
      <c r="B70" s="4" t="s">
        <v>125</v>
      </c>
      <c r="C70" s="4" t="s">
        <v>696</v>
      </c>
      <c r="D70" s="9">
        <v>0.39079999999999998</v>
      </c>
      <c r="E70" s="8">
        <v>989</v>
      </c>
      <c r="F70" s="8">
        <v>994</v>
      </c>
      <c r="G70" s="8">
        <v>29</v>
      </c>
      <c r="H70" s="8">
        <v>38</v>
      </c>
      <c r="I70" s="8" t="s">
        <v>576</v>
      </c>
      <c r="J70" s="8">
        <v>31</v>
      </c>
      <c r="K70" s="4" t="s">
        <v>697</v>
      </c>
      <c r="L70" s="4" t="s">
        <v>583</v>
      </c>
      <c r="M70" s="4" t="s">
        <v>579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6" customHeight="1">
      <c r="A71" s="4" t="s">
        <v>698</v>
      </c>
      <c r="B71" s="4" t="s">
        <v>125</v>
      </c>
      <c r="C71" s="4" t="s">
        <v>160</v>
      </c>
      <c r="D71" s="9">
        <v>0.98599999999999999</v>
      </c>
      <c r="E71" s="8">
        <v>320</v>
      </c>
      <c r="F71" s="8">
        <v>996</v>
      </c>
      <c r="G71" s="8">
        <v>176</v>
      </c>
      <c r="H71" s="8">
        <v>20</v>
      </c>
      <c r="I71" s="8" t="s">
        <v>576</v>
      </c>
      <c r="J71" s="8">
        <v>16</v>
      </c>
      <c r="K71" s="4" t="s">
        <v>694</v>
      </c>
      <c r="L71" s="4" t="s">
        <v>578</v>
      </c>
      <c r="M71" s="4" t="s">
        <v>585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6" customHeight="1">
      <c r="A72" s="4" t="s">
        <v>699</v>
      </c>
      <c r="B72" s="4" t="s">
        <v>125</v>
      </c>
      <c r="C72" s="4" t="s">
        <v>162</v>
      </c>
      <c r="D72" s="9">
        <v>0.99619999999999997</v>
      </c>
      <c r="E72" s="8">
        <v>286</v>
      </c>
      <c r="F72" s="8">
        <v>1014</v>
      </c>
      <c r="G72" s="8">
        <v>184</v>
      </c>
      <c r="H72" s="8">
        <v>31</v>
      </c>
      <c r="I72" s="8" t="s">
        <v>576</v>
      </c>
      <c r="J72" s="8">
        <v>25</v>
      </c>
      <c r="K72" s="4" t="s">
        <v>486</v>
      </c>
      <c r="L72" s="4" t="s">
        <v>578</v>
      </c>
      <c r="M72" s="4" t="s">
        <v>585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6" customHeight="1">
      <c r="A73" s="4" t="s">
        <v>700</v>
      </c>
      <c r="B73" s="4" t="s">
        <v>125</v>
      </c>
      <c r="C73" s="4" t="s">
        <v>701</v>
      </c>
      <c r="D73" s="9">
        <v>0.93930000000000002</v>
      </c>
      <c r="E73" s="8">
        <v>313</v>
      </c>
      <c r="F73" s="8">
        <v>1014</v>
      </c>
      <c r="G73" s="8">
        <v>157</v>
      </c>
      <c r="H73" s="8">
        <v>31</v>
      </c>
      <c r="I73" s="8" t="s">
        <v>576</v>
      </c>
      <c r="J73" s="8">
        <v>25</v>
      </c>
      <c r="K73" s="4" t="s">
        <v>487</v>
      </c>
      <c r="L73" s="4" t="s">
        <v>583</v>
      </c>
      <c r="M73" s="4" t="s">
        <v>585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" customHeight="1">
      <c r="A74" s="4" t="s">
        <v>702</v>
      </c>
      <c r="B74" s="4" t="s">
        <v>125</v>
      </c>
      <c r="C74" s="4" t="s">
        <v>703</v>
      </c>
      <c r="D74" s="9">
        <v>0.44700000000000001</v>
      </c>
      <c r="E74" s="8">
        <v>289</v>
      </c>
      <c r="F74" s="8">
        <v>1021</v>
      </c>
      <c r="G74" s="8">
        <v>23</v>
      </c>
      <c r="H74" s="8">
        <v>23</v>
      </c>
      <c r="I74" s="8" t="s">
        <v>576</v>
      </c>
      <c r="J74" s="8">
        <v>19</v>
      </c>
      <c r="K74" s="4" t="s">
        <v>487</v>
      </c>
      <c r="L74" s="4" t="s">
        <v>583</v>
      </c>
      <c r="M74" s="4" t="s">
        <v>579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6" customHeight="1">
      <c r="A75" s="4" t="s">
        <v>704</v>
      </c>
      <c r="B75" s="4" t="s">
        <v>125</v>
      </c>
      <c r="C75" s="4" t="s">
        <v>705</v>
      </c>
      <c r="D75" s="9">
        <v>0.99850000000000005</v>
      </c>
      <c r="E75" s="8">
        <v>9</v>
      </c>
      <c r="F75" s="8">
        <v>1023</v>
      </c>
      <c r="G75" s="8">
        <v>249</v>
      </c>
      <c r="H75" s="8">
        <v>22</v>
      </c>
      <c r="I75" s="8" t="s">
        <v>576</v>
      </c>
      <c r="J75" s="8">
        <v>18</v>
      </c>
      <c r="K75" s="4" t="s">
        <v>488</v>
      </c>
      <c r="L75" s="4" t="s">
        <v>578</v>
      </c>
      <c r="M75" s="4" t="s">
        <v>585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6" customHeight="1">
      <c r="A76" s="4" t="s">
        <v>706</v>
      </c>
      <c r="B76" s="4" t="s">
        <v>125</v>
      </c>
      <c r="C76" s="4" t="s">
        <v>707</v>
      </c>
      <c r="D76" s="9">
        <v>0.85470000000000002</v>
      </c>
      <c r="E76" s="8">
        <v>310</v>
      </c>
      <c r="F76" s="8">
        <v>1039</v>
      </c>
      <c r="G76" s="8">
        <v>161</v>
      </c>
      <c r="H76" s="8">
        <v>31</v>
      </c>
      <c r="I76" s="8" t="s">
        <v>576</v>
      </c>
      <c r="J76" s="8">
        <v>25</v>
      </c>
      <c r="K76" s="4" t="s">
        <v>708</v>
      </c>
      <c r="L76" s="4" t="s">
        <v>583</v>
      </c>
      <c r="M76" s="4" t="s">
        <v>579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6" customHeight="1">
      <c r="A77" s="4" t="s">
        <v>709</v>
      </c>
      <c r="B77" s="4" t="s">
        <v>125</v>
      </c>
      <c r="C77" s="4" t="s">
        <v>710</v>
      </c>
      <c r="D77" s="9">
        <v>0.88770000000000004</v>
      </c>
      <c r="E77" s="8">
        <v>341</v>
      </c>
      <c r="F77" s="8">
        <v>1039</v>
      </c>
      <c r="G77" s="8">
        <v>129</v>
      </c>
      <c r="H77" s="8">
        <v>30</v>
      </c>
      <c r="I77" s="8" t="s">
        <v>576</v>
      </c>
      <c r="J77" s="8">
        <v>25</v>
      </c>
      <c r="K77" s="4" t="s">
        <v>711</v>
      </c>
      <c r="L77" s="4" t="s">
        <v>578</v>
      </c>
      <c r="M77" s="4" t="s">
        <v>579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6" customHeight="1">
      <c r="A78" s="4" t="s">
        <v>712</v>
      </c>
      <c r="B78" s="4" t="s">
        <v>125</v>
      </c>
      <c r="C78" s="4" t="s">
        <v>713</v>
      </c>
      <c r="D78" s="9">
        <v>0.99950000000000006</v>
      </c>
      <c r="E78" s="8">
        <v>0</v>
      </c>
      <c r="F78" s="8">
        <v>1042</v>
      </c>
      <c r="G78" s="8">
        <v>257</v>
      </c>
      <c r="H78" s="8">
        <v>23</v>
      </c>
      <c r="I78" s="8" t="s">
        <v>576</v>
      </c>
      <c r="J78" s="8">
        <v>19</v>
      </c>
      <c r="K78" s="4" t="s">
        <v>487</v>
      </c>
      <c r="L78" s="4" t="s">
        <v>578</v>
      </c>
      <c r="M78" s="4" t="s">
        <v>585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6" customHeight="1">
      <c r="A79" s="4" t="s">
        <v>714</v>
      </c>
      <c r="B79" s="4" t="s">
        <v>125</v>
      </c>
      <c r="C79" s="4" t="s">
        <v>715</v>
      </c>
      <c r="D79" s="9">
        <v>0.44869999999999999</v>
      </c>
      <c r="E79" s="8">
        <v>290</v>
      </c>
      <c r="F79" s="8">
        <v>1047</v>
      </c>
      <c r="G79" s="8">
        <v>22</v>
      </c>
      <c r="H79" s="8">
        <v>17</v>
      </c>
      <c r="I79" s="8" t="s">
        <v>576</v>
      </c>
      <c r="J79" s="8">
        <v>14</v>
      </c>
      <c r="K79" s="4" t="s">
        <v>468</v>
      </c>
      <c r="L79" s="4" t="s">
        <v>583</v>
      </c>
      <c r="M79" s="4" t="s">
        <v>579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6" customHeight="1">
      <c r="A80" s="4" t="s">
        <v>716</v>
      </c>
      <c r="B80" s="4" t="s">
        <v>125</v>
      </c>
      <c r="C80" s="4" t="s">
        <v>717</v>
      </c>
      <c r="D80" s="9">
        <v>0.82110000000000005</v>
      </c>
      <c r="E80" s="8">
        <v>988</v>
      </c>
      <c r="F80" s="8">
        <v>1048</v>
      </c>
      <c r="G80" s="8">
        <v>59</v>
      </c>
      <c r="H80" s="8">
        <v>35</v>
      </c>
      <c r="I80" s="8" t="s">
        <v>576</v>
      </c>
      <c r="J80" s="8">
        <v>29</v>
      </c>
      <c r="K80" s="4" t="s">
        <v>718</v>
      </c>
      <c r="L80" s="4" t="s">
        <v>583</v>
      </c>
      <c r="M80" s="4" t="s">
        <v>579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6" customHeight="1">
      <c r="A81" s="4" t="s">
        <v>719</v>
      </c>
      <c r="B81" s="4" t="s">
        <v>125</v>
      </c>
      <c r="C81" s="4" t="s">
        <v>167</v>
      </c>
      <c r="D81" s="9">
        <v>0.99660000000000004</v>
      </c>
      <c r="E81" s="8">
        <v>570</v>
      </c>
      <c r="F81" s="8">
        <v>1061</v>
      </c>
      <c r="G81" s="8">
        <v>159</v>
      </c>
      <c r="H81" s="8">
        <v>28</v>
      </c>
      <c r="I81" s="8" t="s">
        <v>576</v>
      </c>
      <c r="J81" s="8">
        <v>23</v>
      </c>
      <c r="K81" s="4" t="s">
        <v>472</v>
      </c>
      <c r="L81" s="4" t="s">
        <v>583</v>
      </c>
      <c r="M81" s="4" t="s">
        <v>585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6" customHeight="1">
      <c r="A82" s="4" t="s">
        <v>720</v>
      </c>
      <c r="B82" s="4" t="s">
        <v>125</v>
      </c>
      <c r="C82" s="4" t="s">
        <v>177</v>
      </c>
      <c r="D82" s="9">
        <v>0.99970000000000003</v>
      </c>
      <c r="E82" s="8">
        <v>0</v>
      </c>
      <c r="F82" s="8">
        <v>1063</v>
      </c>
      <c r="G82" s="8">
        <v>72</v>
      </c>
      <c r="H82" s="8">
        <v>26</v>
      </c>
      <c r="I82" s="8" t="s">
        <v>576</v>
      </c>
      <c r="J82" s="8">
        <v>21</v>
      </c>
      <c r="K82" s="4" t="s">
        <v>490</v>
      </c>
      <c r="L82" s="4" t="s">
        <v>578</v>
      </c>
      <c r="M82" s="4" t="s">
        <v>585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6" customHeight="1">
      <c r="A83" s="4" t="s">
        <v>721</v>
      </c>
      <c r="B83" s="4" t="s">
        <v>125</v>
      </c>
      <c r="C83" s="4" t="s">
        <v>722</v>
      </c>
      <c r="D83" s="9">
        <v>0.99809999999999999</v>
      </c>
      <c r="E83" s="8">
        <v>100</v>
      </c>
      <c r="F83" s="8">
        <v>1063</v>
      </c>
      <c r="G83" s="8">
        <v>157</v>
      </c>
      <c r="H83" s="8">
        <v>21</v>
      </c>
      <c r="I83" s="8" t="s">
        <v>576</v>
      </c>
      <c r="J83" s="8">
        <v>17</v>
      </c>
      <c r="K83" s="4" t="s">
        <v>489</v>
      </c>
      <c r="L83" s="4" t="s">
        <v>578</v>
      </c>
      <c r="M83" s="4" t="s">
        <v>585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6" customHeight="1">
      <c r="A84" s="4" t="s">
        <v>723</v>
      </c>
      <c r="B84" s="4" t="s">
        <v>125</v>
      </c>
      <c r="C84" s="4" t="s">
        <v>724</v>
      </c>
      <c r="D84" s="9">
        <v>0.99260000000000004</v>
      </c>
      <c r="E84" s="8">
        <v>286</v>
      </c>
      <c r="F84" s="8">
        <v>1063</v>
      </c>
      <c r="G84" s="8">
        <v>176</v>
      </c>
      <c r="H84" s="8">
        <v>26</v>
      </c>
      <c r="I84" s="8" t="s">
        <v>576</v>
      </c>
      <c r="J84" s="8">
        <v>21</v>
      </c>
      <c r="K84" s="4" t="s">
        <v>491</v>
      </c>
      <c r="L84" s="4" t="s">
        <v>578</v>
      </c>
      <c r="M84" s="4" t="s">
        <v>585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6" customHeight="1">
      <c r="A85" s="4" t="s">
        <v>725</v>
      </c>
      <c r="B85" s="4" t="s">
        <v>182</v>
      </c>
      <c r="C85" s="4" t="s">
        <v>181</v>
      </c>
      <c r="D85" s="9">
        <v>0.99870000000000003</v>
      </c>
      <c r="E85" s="8">
        <v>523</v>
      </c>
      <c r="F85" s="8">
        <v>69</v>
      </c>
      <c r="G85" s="8">
        <v>87</v>
      </c>
      <c r="H85" s="8">
        <v>19</v>
      </c>
      <c r="I85" s="8" t="s">
        <v>576</v>
      </c>
      <c r="J85" s="8">
        <v>16</v>
      </c>
      <c r="K85" s="4" t="s">
        <v>726</v>
      </c>
      <c r="L85" s="4" t="s">
        <v>578</v>
      </c>
      <c r="M85" s="4" t="s">
        <v>585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6" customHeight="1">
      <c r="A86" s="4" t="s">
        <v>727</v>
      </c>
      <c r="B86" s="4" t="s">
        <v>182</v>
      </c>
      <c r="C86" s="4" t="s">
        <v>728</v>
      </c>
      <c r="D86" s="9">
        <v>0.99819999999999998</v>
      </c>
      <c r="E86" s="8">
        <v>635</v>
      </c>
      <c r="F86" s="8">
        <v>69</v>
      </c>
      <c r="G86" s="8">
        <v>87</v>
      </c>
      <c r="H86" s="8">
        <v>19</v>
      </c>
      <c r="I86" s="8" t="s">
        <v>576</v>
      </c>
      <c r="J86" s="8">
        <v>16</v>
      </c>
      <c r="K86" s="4" t="s">
        <v>729</v>
      </c>
      <c r="L86" s="4" t="s">
        <v>578</v>
      </c>
      <c r="M86" s="4" t="s">
        <v>585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6" customHeight="1">
      <c r="A87" s="4" t="s">
        <v>730</v>
      </c>
      <c r="B87" s="4" t="s">
        <v>182</v>
      </c>
      <c r="C87" s="4" t="s">
        <v>728</v>
      </c>
      <c r="D87" s="9">
        <v>0.9929</v>
      </c>
      <c r="E87" s="8">
        <v>523</v>
      </c>
      <c r="F87" s="8">
        <v>175</v>
      </c>
      <c r="G87" s="8">
        <v>87</v>
      </c>
      <c r="H87" s="8">
        <v>19</v>
      </c>
      <c r="I87" s="8" t="s">
        <v>576</v>
      </c>
      <c r="J87" s="8">
        <v>16</v>
      </c>
      <c r="K87" s="4" t="s">
        <v>731</v>
      </c>
      <c r="L87" s="4" t="s">
        <v>578</v>
      </c>
      <c r="M87" s="4" t="s">
        <v>585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6" customHeight="1">
      <c r="A88" s="4" t="s">
        <v>732</v>
      </c>
      <c r="B88" s="4" t="s">
        <v>182</v>
      </c>
      <c r="C88" s="4" t="s">
        <v>728</v>
      </c>
      <c r="D88" s="9">
        <v>0.99870000000000003</v>
      </c>
      <c r="E88" s="8">
        <v>635</v>
      </c>
      <c r="F88" s="8">
        <v>175</v>
      </c>
      <c r="G88" s="8">
        <v>87</v>
      </c>
      <c r="H88" s="8">
        <v>19</v>
      </c>
      <c r="I88" s="8" t="s">
        <v>576</v>
      </c>
      <c r="J88" s="8">
        <v>16</v>
      </c>
      <c r="K88" s="4" t="s">
        <v>493</v>
      </c>
      <c r="L88" s="4" t="s">
        <v>583</v>
      </c>
      <c r="M88" s="4" t="s">
        <v>585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6" customHeight="1">
      <c r="A89" s="4" t="s">
        <v>733</v>
      </c>
      <c r="B89" s="4" t="s">
        <v>182</v>
      </c>
      <c r="C89" s="4" t="s">
        <v>734</v>
      </c>
      <c r="D89" s="9">
        <v>0.63460000000000005</v>
      </c>
      <c r="E89" s="8">
        <v>545</v>
      </c>
      <c r="F89" s="8">
        <v>231</v>
      </c>
      <c r="G89" s="8">
        <v>41</v>
      </c>
      <c r="H89" s="8">
        <v>41</v>
      </c>
      <c r="I89" s="8" t="s">
        <v>576</v>
      </c>
      <c r="J89" s="8">
        <v>34</v>
      </c>
      <c r="K89" s="4" t="s">
        <v>735</v>
      </c>
      <c r="L89" s="4" t="s">
        <v>578</v>
      </c>
      <c r="M89" s="4" t="s">
        <v>579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6" customHeight="1">
      <c r="A90" s="4" t="s">
        <v>736</v>
      </c>
      <c r="B90" s="4" t="s">
        <v>182</v>
      </c>
      <c r="C90" s="4" t="s">
        <v>737</v>
      </c>
      <c r="D90" s="9">
        <v>0.51949999999999996</v>
      </c>
      <c r="E90" s="8">
        <v>657</v>
      </c>
      <c r="F90" s="8">
        <v>233</v>
      </c>
      <c r="G90" s="8">
        <v>40</v>
      </c>
      <c r="H90" s="8">
        <v>39</v>
      </c>
      <c r="I90" s="8" t="s">
        <v>576</v>
      </c>
      <c r="J90" s="8">
        <v>32</v>
      </c>
      <c r="K90" s="4" t="s">
        <v>738</v>
      </c>
      <c r="L90" s="4" t="s">
        <v>578</v>
      </c>
      <c r="M90" s="4" t="s">
        <v>579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6" customHeight="1">
      <c r="A91" s="4" t="s">
        <v>739</v>
      </c>
      <c r="B91" s="4" t="s">
        <v>182</v>
      </c>
      <c r="C91" s="4" t="s">
        <v>740</v>
      </c>
      <c r="D91" s="9">
        <v>0.99739999999999995</v>
      </c>
      <c r="E91" s="8">
        <v>521</v>
      </c>
      <c r="F91" s="8">
        <v>281</v>
      </c>
      <c r="G91" s="8">
        <v>91</v>
      </c>
      <c r="H91" s="8">
        <v>19</v>
      </c>
      <c r="I91" s="8" t="s">
        <v>576</v>
      </c>
      <c r="J91" s="8">
        <v>16</v>
      </c>
      <c r="K91" s="4" t="s">
        <v>741</v>
      </c>
      <c r="L91" s="4" t="s">
        <v>578</v>
      </c>
      <c r="M91" s="4" t="s">
        <v>585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6" customHeight="1">
      <c r="A92" s="4" t="s">
        <v>742</v>
      </c>
      <c r="B92" s="4" t="s">
        <v>182</v>
      </c>
      <c r="C92" s="4" t="s">
        <v>740</v>
      </c>
      <c r="D92" s="9">
        <v>0.99609999999999999</v>
      </c>
      <c r="E92" s="8">
        <v>633</v>
      </c>
      <c r="F92" s="8">
        <v>281</v>
      </c>
      <c r="G92" s="8">
        <v>91</v>
      </c>
      <c r="H92" s="8">
        <v>19</v>
      </c>
      <c r="I92" s="8" t="s">
        <v>576</v>
      </c>
      <c r="J92" s="8">
        <v>16</v>
      </c>
      <c r="K92" s="4" t="s">
        <v>743</v>
      </c>
      <c r="L92" s="4" t="s">
        <v>578</v>
      </c>
      <c r="M92" s="4" t="s">
        <v>585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6" customHeight="1">
      <c r="A93" s="4" t="s">
        <v>744</v>
      </c>
      <c r="B93" s="4" t="s">
        <v>182</v>
      </c>
      <c r="C93" s="4" t="s">
        <v>734</v>
      </c>
      <c r="D93" s="9">
        <v>0.64370000000000005</v>
      </c>
      <c r="E93" s="8">
        <v>545</v>
      </c>
      <c r="F93" s="8">
        <v>337</v>
      </c>
      <c r="G93" s="8">
        <v>41</v>
      </c>
      <c r="H93" s="8">
        <v>41</v>
      </c>
      <c r="I93" s="8" t="s">
        <v>576</v>
      </c>
      <c r="J93" s="8">
        <v>34</v>
      </c>
      <c r="K93" s="4" t="s">
        <v>745</v>
      </c>
      <c r="L93" s="4" t="s">
        <v>578</v>
      </c>
      <c r="M93" s="4" t="s">
        <v>579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6" customHeight="1">
      <c r="A94" s="4" t="s">
        <v>746</v>
      </c>
      <c r="B94" s="4" t="s">
        <v>182</v>
      </c>
      <c r="C94" s="4" t="s">
        <v>740</v>
      </c>
      <c r="D94" s="9">
        <v>0.99790000000000001</v>
      </c>
      <c r="E94" s="8">
        <v>521</v>
      </c>
      <c r="F94" s="8">
        <v>387</v>
      </c>
      <c r="G94" s="8">
        <v>91</v>
      </c>
      <c r="H94" s="8">
        <v>19</v>
      </c>
      <c r="I94" s="8" t="s">
        <v>576</v>
      </c>
      <c r="J94" s="8">
        <v>16</v>
      </c>
      <c r="K94" s="4" t="s">
        <v>494</v>
      </c>
      <c r="L94" s="4" t="s">
        <v>578</v>
      </c>
      <c r="M94" s="4" t="s">
        <v>585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6" customHeight="1">
      <c r="A95" s="4" t="s">
        <v>747</v>
      </c>
      <c r="B95" s="4" t="s">
        <v>182</v>
      </c>
      <c r="C95" s="4" t="s">
        <v>190</v>
      </c>
      <c r="D95" s="9">
        <v>0.99950000000000006</v>
      </c>
      <c r="E95" s="8">
        <v>633</v>
      </c>
      <c r="F95" s="8">
        <v>387</v>
      </c>
      <c r="G95" s="8">
        <v>91</v>
      </c>
      <c r="H95" s="8">
        <v>18</v>
      </c>
      <c r="I95" s="8" t="s">
        <v>576</v>
      </c>
      <c r="J95" s="8">
        <v>15</v>
      </c>
      <c r="K95" s="4" t="s">
        <v>495</v>
      </c>
      <c r="L95" s="4" t="s">
        <v>578</v>
      </c>
      <c r="M95" s="4" t="s">
        <v>585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6" customHeight="1">
      <c r="A96" s="4" t="s">
        <v>748</v>
      </c>
      <c r="B96" s="4" t="s">
        <v>182</v>
      </c>
      <c r="C96" s="4" t="s">
        <v>190</v>
      </c>
      <c r="D96" s="9">
        <v>0.99939999999999996</v>
      </c>
      <c r="E96" s="8">
        <v>521</v>
      </c>
      <c r="F96" s="8">
        <v>493</v>
      </c>
      <c r="G96" s="8">
        <v>90</v>
      </c>
      <c r="H96" s="8">
        <v>18</v>
      </c>
      <c r="I96" s="8" t="s">
        <v>576</v>
      </c>
      <c r="J96" s="8">
        <v>15</v>
      </c>
      <c r="K96" s="4" t="s">
        <v>749</v>
      </c>
      <c r="L96" s="4" t="s">
        <v>578</v>
      </c>
      <c r="M96" s="4" t="s">
        <v>585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6" customHeight="1">
      <c r="A97" s="4" t="s">
        <v>750</v>
      </c>
      <c r="B97" s="4" t="s">
        <v>182</v>
      </c>
      <c r="C97" s="4" t="s">
        <v>190</v>
      </c>
      <c r="D97" s="9">
        <v>0.99939999999999996</v>
      </c>
      <c r="E97" s="8">
        <v>633</v>
      </c>
      <c r="F97" s="8">
        <v>493</v>
      </c>
      <c r="G97" s="8">
        <v>91</v>
      </c>
      <c r="H97" s="8">
        <v>18</v>
      </c>
      <c r="I97" s="8" t="s">
        <v>576</v>
      </c>
      <c r="J97" s="8">
        <v>15</v>
      </c>
      <c r="K97" s="4" t="s">
        <v>751</v>
      </c>
      <c r="L97" s="4" t="s">
        <v>578</v>
      </c>
      <c r="M97" s="4" t="s">
        <v>585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6" customHeight="1">
      <c r="A98" s="4" t="s">
        <v>752</v>
      </c>
      <c r="B98" s="4" t="s">
        <v>182</v>
      </c>
      <c r="C98" s="4" t="s">
        <v>734</v>
      </c>
      <c r="D98" s="9">
        <v>0.60209999999999997</v>
      </c>
      <c r="E98" s="8">
        <v>553</v>
      </c>
      <c r="F98" s="8">
        <v>547</v>
      </c>
      <c r="G98" s="8">
        <v>29</v>
      </c>
      <c r="H98" s="8">
        <v>26</v>
      </c>
      <c r="I98" s="8" t="s">
        <v>576</v>
      </c>
      <c r="J98" s="8">
        <v>21</v>
      </c>
      <c r="K98" s="4" t="s">
        <v>753</v>
      </c>
      <c r="L98" s="4" t="s">
        <v>583</v>
      </c>
      <c r="M98" s="4" t="s">
        <v>579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6" customHeight="1">
      <c r="A99" s="4" t="s">
        <v>754</v>
      </c>
      <c r="B99" s="4" t="s">
        <v>182</v>
      </c>
      <c r="C99" s="4" t="s">
        <v>192</v>
      </c>
      <c r="D99" s="9">
        <v>0.9335</v>
      </c>
      <c r="E99" s="8">
        <v>521</v>
      </c>
      <c r="F99" s="8">
        <v>599</v>
      </c>
      <c r="G99" s="8">
        <v>91</v>
      </c>
      <c r="H99" s="8">
        <v>18</v>
      </c>
      <c r="I99" s="8" t="s">
        <v>576</v>
      </c>
      <c r="J99" s="8">
        <v>15</v>
      </c>
      <c r="K99" s="4" t="s">
        <v>755</v>
      </c>
      <c r="L99" s="4" t="s">
        <v>578</v>
      </c>
      <c r="M99" s="4" t="s">
        <v>585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6" customHeight="1">
      <c r="A100" s="4" t="s">
        <v>756</v>
      </c>
      <c r="B100" s="4" t="s">
        <v>182</v>
      </c>
      <c r="C100" s="4" t="s">
        <v>192</v>
      </c>
      <c r="D100" s="9">
        <v>0.96340000000000003</v>
      </c>
      <c r="E100" s="8">
        <v>633</v>
      </c>
      <c r="F100" s="8">
        <v>599</v>
      </c>
      <c r="G100" s="8">
        <v>91</v>
      </c>
      <c r="H100" s="8">
        <v>18</v>
      </c>
      <c r="I100" s="8" t="s">
        <v>576</v>
      </c>
      <c r="J100" s="8">
        <v>15</v>
      </c>
      <c r="K100" s="4" t="s">
        <v>496</v>
      </c>
      <c r="L100" s="4" t="s">
        <v>583</v>
      </c>
      <c r="M100" s="4" t="s">
        <v>585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6" customHeight="1">
      <c r="A101" s="4" t="s">
        <v>757</v>
      </c>
      <c r="B101" s="4" t="s">
        <v>182</v>
      </c>
      <c r="C101" s="4" t="s">
        <v>734</v>
      </c>
      <c r="D101" s="9">
        <v>0.41760000000000003</v>
      </c>
      <c r="E101" s="8">
        <v>627</v>
      </c>
      <c r="F101" s="8">
        <v>643</v>
      </c>
      <c r="G101" s="8">
        <v>35</v>
      </c>
      <c r="H101" s="8">
        <v>28</v>
      </c>
      <c r="I101" s="8" t="s">
        <v>576</v>
      </c>
      <c r="J101" s="8">
        <v>23</v>
      </c>
      <c r="K101" s="4" t="s">
        <v>758</v>
      </c>
      <c r="L101" s="4" t="s">
        <v>583</v>
      </c>
      <c r="M101" s="4" t="s">
        <v>579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6" customHeight="1">
      <c r="A102" s="4" t="s">
        <v>759</v>
      </c>
      <c r="B102" s="4" t="s">
        <v>182</v>
      </c>
      <c r="C102" s="4" t="s">
        <v>734</v>
      </c>
      <c r="D102" s="9">
        <v>0.59430000000000005</v>
      </c>
      <c r="E102" s="8">
        <v>715</v>
      </c>
      <c r="F102" s="8">
        <v>643</v>
      </c>
      <c r="G102" s="8">
        <v>33</v>
      </c>
      <c r="H102" s="8">
        <v>28</v>
      </c>
      <c r="I102" s="8" t="s">
        <v>576</v>
      </c>
      <c r="J102" s="8">
        <v>23</v>
      </c>
      <c r="K102" s="4" t="s">
        <v>760</v>
      </c>
      <c r="L102" s="4" t="s">
        <v>583</v>
      </c>
      <c r="M102" s="4" t="s">
        <v>579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6" customHeight="1">
      <c r="A103" s="4" t="s">
        <v>761</v>
      </c>
      <c r="B103" s="4" t="s">
        <v>182</v>
      </c>
      <c r="C103" s="4" t="s">
        <v>762</v>
      </c>
      <c r="D103" s="9">
        <v>0.50139999999999996</v>
      </c>
      <c r="E103" s="8">
        <v>629</v>
      </c>
      <c r="F103" s="8">
        <v>644</v>
      </c>
      <c r="G103" s="8">
        <v>33</v>
      </c>
      <c r="H103" s="8">
        <v>25</v>
      </c>
      <c r="I103" s="8" t="s">
        <v>576</v>
      </c>
      <c r="J103" s="8">
        <v>20</v>
      </c>
      <c r="K103" s="4" t="s">
        <v>758</v>
      </c>
      <c r="L103" s="4" t="s">
        <v>578</v>
      </c>
      <c r="M103" s="4" t="s">
        <v>579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6" customHeight="1">
      <c r="A104" s="4" t="s">
        <v>763</v>
      </c>
      <c r="B104" s="4" t="s">
        <v>182</v>
      </c>
      <c r="C104" s="4" t="s">
        <v>734</v>
      </c>
      <c r="D104" s="9">
        <v>0.72289999999999999</v>
      </c>
      <c r="E104" s="8">
        <v>673</v>
      </c>
      <c r="F104" s="8">
        <v>644</v>
      </c>
      <c r="G104" s="8">
        <v>31</v>
      </c>
      <c r="H104" s="8">
        <v>25</v>
      </c>
      <c r="I104" s="8" t="s">
        <v>576</v>
      </c>
      <c r="J104" s="8">
        <v>20</v>
      </c>
      <c r="K104" s="4" t="s">
        <v>764</v>
      </c>
      <c r="L104" s="4" t="s">
        <v>578</v>
      </c>
      <c r="M104" s="4" t="s">
        <v>579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6" customHeight="1">
      <c r="A105" s="4" t="s">
        <v>765</v>
      </c>
      <c r="B105" s="4" t="s">
        <v>182</v>
      </c>
      <c r="C105" s="4" t="s">
        <v>617</v>
      </c>
      <c r="D105" s="9">
        <v>0.73609999999999998</v>
      </c>
      <c r="E105" s="8">
        <v>677</v>
      </c>
      <c r="F105" s="8">
        <v>689</v>
      </c>
      <c r="G105" s="8">
        <v>27</v>
      </c>
      <c r="H105" s="8">
        <v>24</v>
      </c>
      <c r="I105" s="8" t="s">
        <v>576</v>
      </c>
      <c r="J105" s="8">
        <v>20</v>
      </c>
      <c r="K105" s="4" t="s">
        <v>621</v>
      </c>
      <c r="L105" s="4" t="s">
        <v>578</v>
      </c>
      <c r="M105" s="4" t="s">
        <v>579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6" customHeight="1">
      <c r="A106" s="4" t="s">
        <v>766</v>
      </c>
      <c r="B106" s="4" t="s">
        <v>182</v>
      </c>
      <c r="C106" s="4" t="s">
        <v>196</v>
      </c>
      <c r="D106" s="9">
        <v>1</v>
      </c>
      <c r="E106" s="8">
        <v>53</v>
      </c>
      <c r="F106" s="8">
        <v>690</v>
      </c>
      <c r="G106" s="8">
        <v>222</v>
      </c>
      <c r="H106" s="8">
        <v>55</v>
      </c>
      <c r="I106" s="8" t="s">
        <v>576</v>
      </c>
      <c r="J106" s="8">
        <v>45</v>
      </c>
      <c r="K106" s="4" t="s">
        <v>497</v>
      </c>
      <c r="L106" s="4" t="s">
        <v>578</v>
      </c>
      <c r="M106" s="4" t="s">
        <v>585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6" customHeight="1">
      <c r="A107" s="4" t="s">
        <v>767</v>
      </c>
      <c r="B107" s="4" t="s">
        <v>182</v>
      </c>
      <c r="C107" s="4" t="s">
        <v>194</v>
      </c>
      <c r="D107" s="9">
        <v>0.99160000000000004</v>
      </c>
      <c r="E107" s="8">
        <v>307</v>
      </c>
      <c r="F107" s="8">
        <v>692</v>
      </c>
      <c r="G107" s="8">
        <v>152</v>
      </c>
      <c r="H107" s="8">
        <v>21</v>
      </c>
      <c r="I107" s="8" t="s">
        <v>576</v>
      </c>
      <c r="J107" s="8">
        <v>17</v>
      </c>
      <c r="K107" s="4" t="s">
        <v>768</v>
      </c>
      <c r="L107" s="4" t="s">
        <v>578</v>
      </c>
      <c r="M107" s="4" t="s">
        <v>585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6" customHeight="1">
      <c r="A108" s="4" t="s">
        <v>769</v>
      </c>
      <c r="B108" s="4" t="s">
        <v>182</v>
      </c>
      <c r="C108" s="4" t="s">
        <v>770</v>
      </c>
      <c r="D108" s="9">
        <v>0.95299999999999996</v>
      </c>
      <c r="E108" s="8">
        <v>521</v>
      </c>
      <c r="F108" s="8">
        <v>705</v>
      </c>
      <c r="G108" s="8">
        <v>91</v>
      </c>
      <c r="H108" s="8">
        <v>19</v>
      </c>
      <c r="I108" s="8" t="s">
        <v>576</v>
      </c>
      <c r="J108" s="8">
        <v>16</v>
      </c>
      <c r="K108" s="4" t="s">
        <v>771</v>
      </c>
      <c r="L108" s="4" t="s">
        <v>578</v>
      </c>
      <c r="M108" s="4" t="s">
        <v>585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6" customHeight="1">
      <c r="A109" s="4" t="s">
        <v>772</v>
      </c>
      <c r="B109" s="4" t="s">
        <v>182</v>
      </c>
      <c r="C109" s="4" t="s">
        <v>773</v>
      </c>
      <c r="D109" s="9">
        <v>0.52739999999999998</v>
      </c>
      <c r="E109" s="8">
        <v>305</v>
      </c>
      <c r="F109" s="8">
        <v>731</v>
      </c>
      <c r="G109" s="8">
        <v>44</v>
      </c>
      <c r="H109" s="8">
        <v>49</v>
      </c>
      <c r="I109" s="8" t="s">
        <v>576</v>
      </c>
      <c r="J109" s="8">
        <v>40</v>
      </c>
      <c r="K109" s="4" t="s">
        <v>540</v>
      </c>
      <c r="L109" s="4" t="s">
        <v>583</v>
      </c>
      <c r="M109" s="4" t="s">
        <v>579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6" customHeight="1">
      <c r="A110" s="4" t="s">
        <v>774</v>
      </c>
      <c r="B110" s="4" t="s">
        <v>182</v>
      </c>
      <c r="C110" s="4" t="s">
        <v>194</v>
      </c>
      <c r="D110" s="9">
        <v>0.99929999999999997</v>
      </c>
      <c r="E110" s="8">
        <v>34</v>
      </c>
      <c r="F110" s="8">
        <v>747</v>
      </c>
      <c r="G110" s="8">
        <v>151</v>
      </c>
      <c r="H110" s="8">
        <v>25</v>
      </c>
      <c r="I110" s="8" t="s">
        <v>576</v>
      </c>
      <c r="J110" s="8">
        <v>20</v>
      </c>
      <c r="K110" s="4" t="s">
        <v>468</v>
      </c>
      <c r="L110" s="4" t="s">
        <v>578</v>
      </c>
      <c r="M110" s="4" t="s">
        <v>585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6" customHeight="1">
      <c r="A111" s="4" t="s">
        <v>775</v>
      </c>
      <c r="B111" s="4" t="s">
        <v>182</v>
      </c>
      <c r="C111" s="4" t="s">
        <v>194</v>
      </c>
      <c r="D111" s="9">
        <v>0.99219999999999997</v>
      </c>
      <c r="E111" s="8">
        <v>35</v>
      </c>
      <c r="F111" s="8">
        <v>776</v>
      </c>
      <c r="G111" s="8">
        <v>151</v>
      </c>
      <c r="H111" s="8">
        <v>21</v>
      </c>
      <c r="I111" s="8" t="s">
        <v>576</v>
      </c>
      <c r="J111" s="8">
        <v>17</v>
      </c>
      <c r="K111" s="4" t="s">
        <v>483</v>
      </c>
      <c r="L111" s="4" t="s">
        <v>583</v>
      </c>
      <c r="M111" s="4" t="s">
        <v>585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6" customHeight="1">
      <c r="A112" s="4" t="s">
        <v>776</v>
      </c>
      <c r="B112" s="4" t="s">
        <v>182</v>
      </c>
      <c r="C112" s="4" t="s">
        <v>777</v>
      </c>
      <c r="D112" s="9">
        <v>0.3669</v>
      </c>
      <c r="E112" s="8">
        <v>554</v>
      </c>
      <c r="F112" s="8">
        <v>782</v>
      </c>
      <c r="G112" s="8">
        <v>37</v>
      </c>
      <c r="H112" s="8">
        <v>31</v>
      </c>
      <c r="I112" s="8" t="s">
        <v>576</v>
      </c>
      <c r="J112" s="8">
        <v>25</v>
      </c>
      <c r="K112" s="4" t="s">
        <v>778</v>
      </c>
      <c r="L112" s="4" t="s">
        <v>583</v>
      </c>
      <c r="M112" s="4" t="s">
        <v>579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6" customHeight="1">
      <c r="A113" s="4" t="s">
        <v>779</v>
      </c>
      <c r="B113" s="4" t="s">
        <v>182</v>
      </c>
      <c r="C113" s="4" t="s">
        <v>181</v>
      </c>
      <c r="D113" s="9">
        <v>0.99880000000000002</v>
      </c>
      <c r="E113" s="8">
        <v>285</v>
      </c>
      <c r="F113" s="8">
        <v>784</v>
      </c>
      <c r="G113" s="8">
        <v>87</v>
      </c>
      <c r="H113" s="8">
        <v>19</v>
      </c>
      <c r="I113" s="8" t="s">
        <v>576</v>
      </c>
      <c r="J113" s="8">
        <v>16</v>
      </c>
      <c r="K113" s="4" t="s">
        <v>780</v>
      </c>
      <c r="L113" s="4" t="s">
        <v>578</v>
      </c>
      <c r="M113" s="4" t="s">
        <v>585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6" customHeight="1">
      <c r="A114" s="4" t="s">
        <v>781</v>
      </c>
      <c r="B114" s="4" t="s">
        <v>182</v>
      </c>
      <c r="C114" s="4" t="s">
        <v>181</v>
      </c>
      <c r="D114" s="9">
        <v>0.999</v>
      </c>
      <c r="E114" s="8">
        <v>397</v>
      </c>
      <c r="F114" s="8">
        <v>784</v>
      </c>
      <c r="G114" s="8">
        <v>87</v>
      </c>
      <c r="H114" s="8">
        <v>19</v>
      </c>
      <c r="I114" s="8" t="s">
        <v>576</v>
      </c>
      <c r="J114" s="8">
        <v>16</v>
      </c>
      <c r="K114" s="4" t="s">
        <v>492</v>
      </c>
      <c r="L114" s="4" t="s">
        <v>578</v>
      </c>
      <c r="M114" s="4" t="s">
        <v>585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6" customHeight="1">
      <c r="A115" s="4" t="s">
        <v>782</v>
      </c>
      <c r="B115" s="4" t="s">
        <v>182</v>
      </c>
      <c r="C115" s="4" t="s">
        <v>194</v>
      </c>
      <c r="D115" s="9">
        <v>0.99319999999999997</v>
      </c>
      <c r="E115" s="8">
        <v>33</v>
      </c>
      <c r="F115" s="8">
        <v>799</v>
      </c>
      <c r="G115" s="8">
        <v>151</v>
      </c>
      <c r="H115" s="8">
        <v>20</v>
      </c>
      <c r="I115" s="8" t="s">
        <v>576</v>
      </c>
      <c r="J115" s="8">
        <v>16</v>
      </c>
      <c r="K115" s="4" t="s">
        <v>468</v>
      </c>
      <c r="L115" s="4" t="s">
        <v>583</v>
      </c>
      <c r="M115" s="4" t="s">
        <v>585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6" customHeight="1">
      <c r="A116" s="4" t="s">
        <v>783</v>
      </c>
      <c r="B116" s="4" t="s">
        <v>215</v>
      </c>
      <c r="C116" s="4" t="s">
        <v>784</v>
      </c>
      <c r="D116" s="9">
        <v>0.9919</v>
      </c>
      <c r="E116" s="8">
        <v>1</v>
      </c>
      <c r="F116" s="8">
        <v>47</v>
      </c>
      <c r="G116" s="8">
        <v>259</v>
      </c>
      <c r="H116" s="8">
        <v>21</v>
      </c>
      <c r="I116" s="8" t="s">
        <v>576</v>
      </c>
      <c r="J116" s="8">
        <v>17</v>
      </c>
      <c r="K116" s="4" t="s">
        <v>474</v>
      </c>
      <c r="L116" s="4" t="s">
        <v>578</v>
      </c>
      <c r="M116" s="4" t="s">
        <v>585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6" customHeight="1">
      <c r="A117" s="4" t="s">
        <v>785</v>
      </c>
      <c r="B117" s="4" t="s">
        <v>215</v>
      </c>
      <c r="C117" s="4" t="s">
        <v>786</v>
      </c>
      <c r="D117" s="9">
        <v>0.99199999999999999</v>
      </c>
      <c r="E117" s="8">
        <v>0</v>
      </c>
      <c r="F117" s="8">
        <v>67</v>
      </c>
      <c r="G117" s="8">
        <v>307</v>
      </c>
      <c r="H117" s="8">
        <v>21</v>
      </c>
      <c r="I117" s="8" t="s">
        <v>576</v>
      </c>
      <c r="J117" s="8">
        <v>17</v>
      </c>
      <c r="K117" s="4" t="s">
        <v>474</v>
      </c>
      <c r="L117" s="4" t="s">
        <v>578</v>
      </c>
      <c r="M117" s="4" t="s">
        <v>585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6" customHeight="1">
      <c r="A118" s="4" t="s">
        <v>787</v>
      </c>
      <c r="B118" s="4" t="s">
        <v>215</v>
      </c>
      <c r="C118" s="4" t="s">
        <v>788</v>
      </c>
      <c r="D118" s="9">
        <v>0.92069999999999996</v>
      </c>
      <c r="E118" s="8">
        <v>0</v>
      </c>
      <c r="F118" s="8">
        <v>87</v>
      </c>
      <c r="G118" s="8">
        <v>312</v>
      </c>
      <c r="H118" s="8">
        <v>21</v>
      </c>
      <c r="I118" s="8" t="s">
        <v>576</v>
      </c>
      <c r="J118" s="8">
        <v>17</v>
      </c>
      <c r="K118" s="4" t="s">
        <v>474</v>
      </c>
      <c r="L118" s="4" t="s">
        <v>583</v>
      </c>
      <c r="M118" s="4" t="s">
        <v>585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6" customHeight="1">
      <c r="A119" s="4" t="s">
        <v>789</v>
      </c>
      <c r="B119" s="4" t="s">
        <v>215</v>
      </c>
      <c r="C119" s="4" t="s">
        <v>214</v>
      </c>
      <c r="D119" s="9">
        <v>0.99660000000000004</v>
      </c>
      <c r="E119" s="8">
        <v>0</v>
      </c>
      <c r="F119" s="8">
        <v>107</v>
      </c>
      <c r="G119" s="8">
        <v>164</v>
      </c>
      <c r="H119" s="8">
        <v>21</v>
      </c>
      <c r="I119" s="8" t="s">
        <v>576</v>
      </c>
      <c r="J119" s="8">
        <v>17</v>
      </c>
      <c r="K119" s="4" t="s">
        <v>474</v>
      </c>
      <c r="L119" s="4" t="s">
        <v>583</v>
      </c>
      <c r="M119" s="4" t="s">
        <v>585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6" customHeight="1">
      <c r="A120" s="4" t="s">
        <v>790</v>
      </c>
      <c r="B120" s="4" t="s">
        <v>215</v>
      </c>
      <c r="C120" s="4" t="s">
        <v>219</v>
      </c>
      <c r="D120" s="9">
        <v>0.9607</v>
      </c>
      <c r="E120" s="8">
        <v>0</v>
      </c>
      <c r="F120" s="8">
        <v>126</v>
      </c>
      <c r="G120" s="8">
        <v>159</v>
      </c>
      <c r="H120" s="8">
        <v>21</v>
      </c>
      <c r="I120" s="8" t="s">
        <v>576</v>
      </c>
      <c r="J120" s="8">
        <v>17</v>
      </c>
      <c r="K120" s="4" t="s">
        <v>474</v>
      </c>
      <c r="L120" s="4" t="s">
        <v>578</v>
      </c>
      <c r="M120" s="4" t="s">
        <v>585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6" customHeight="1">
      <c r="A121" s="4" t="s">
        <v>791</v>
      </c>
      <c r="B121" s="4" t="s">
        <v>215</v>
      </c>
      <c r="C121" s="4" t="s">
        <v>792</v>
      </c>
      <c r="D121" s="9">
        <v>0.50419999999999998</v>
      </c>
      <c r="E121" s="8">
        <v>183</v>
      </c>
      <c r="F121" s="8">
        <v>139</v>
      </c>
      <c r="G121" s="8">
        <v>31</v>
      </c>
      <c r="H121" s="8">
        <v>102</v>
      </c>
      <c r="I121" s="8" t="s">
        <v>661</v>
      </c>
      <c r="J121" s="8">
        <v>84</v>
      </c>
      <c r="K121" s="4" t="s">
        <v>793</v>
      </c>
      <c r="L121" s="4" t="s">
        <v>583</v>
      </c>
      <c r="M121" s="4" t="s">
        <v>579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6" customHeight="1">
      <c r="A122" s="4" t="s">
        <v>794</v>
      </c>
      <c r="B122" s="4" t="s">
        <v>215</v>
      </c>
      <c r="C122" s="4" t="s">
        <v>221</v>
      </c>
      <c r="D122" s="9">
        <v>0.96299999999999997</v>
      </c>
      <c r="E122" s="8">
        <v>0</v>
      </c>
      <c r="F122" s="8">
        <v>145</v>
      </c>
      <c r="G122" s="8">
        <v>153</v>
      </c>
      <c r="H122" s="8">
        <v>21</v>
      </c>
      <c r="I122" s="8" t="s">
        <v>576</v>
      </c>
      <c r="J122" s="8">
        <v>17</v>
      </c>
      <c r="K122" s="4" t="s">
        <v>474</v>
      </c>
      <c r="L122" s="4" t="s">
        <v>578</v>
      </c>
      <c r="M122" s="4" t="s">
        <v>585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6" customHeight="1">
      <c r="A123" s="4" t="s">
        <v>795</v>
      </c>
      <c r="B123" s="4" t="s">
        <v>215</v>
      </c>
      <c r="C123" s="4" t="s">
        <v>796</v>
      </c>
      <c r="D123" s="9">
        <v>0.85489999999999999</v>
      </c>
      <c r="E123" s="8">
        <v>253</v>
      </c>
      <c r="F123" s="8">
        <v>149</v>
      </c>
      <c r="G123" s="8">
        <v>57</v>
      </c>
      <c r="H123" s="8">
        <v>23</v>
      </c>
      <c r="I123" s="8" t="s">
        <v>576</v>
      </c>
      <c r="J123" s="8">
        <v>19</v>
      </c>
      <c r="K123" s="4" t="s">
        <v>474</v>
      </c>
      <c r="L123" s="4" t="s">
        <v>578</v>
      </c>
      <c r="M123" s="4" t="s">
        <v>579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6" customHeight="1">
      <c r="A124" s="4" t="s">
        <v>797</v>
      </c>
      <c r="B124" s="4" t="s">
        <v>215</v>
      </c>
      <c r="C124" s="4" t="s">
        <v>798</v>
      </c>
      <c r="D124" s="9">
        <v>0.83750000000000002</v>
      </c>
      <c r="E124" s="8">
        <v>173</v>
      </c>
      <c r="F124" s="8">
        <v>159</v>
      </c>
      <c r="G124" s="8">
        <v>20</v>
      </c>
      <c r="H124" s="8">
        <v>23</v>
      </c>
      <c r="I124" s="8" t="s">
        <v>576</v>
      </c>
      <c r="J124" s="8">
        <v>19</v>
      </c>
      <c r="K124" s="4" t="s">
        <v>474</v>
      </c>
      <c r="L124" s="4" t="s">
        <v>578</v>
      </c>
      <c r="M124" s="4" t="s">
        <v>579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6" customHeight="1">
      <c r="A125" s="4" t="s">
        <v>799</v>
      </c>
      <c r="B125" s="4" t="s">
        <v>215</v>
      </c>
      <c r="C125" s="4" t="s">
        <v>223</v>
      </c>
      <c r="D125" s="9">
        <v>0.97619999999999996</v>
      </c>
      <c r="E125" s="8">
        <v>0</v>
      </c>
      <c r="F125" s="8">
        <v>163</v>
      </c>
      <c r="G125" s="8">
        <v>135</v>
      </c>
      <c r="H125" s="8">
        <v>21</v>
      </c>
      <c r="I125" s="8" t="s">
        <v>576</v>
      </c>
      <c r="J125" s="8">
        <v>17</v>
      </c>
      <c r="K125" s="4" t="s">
        <v>474</v>
      </c>
      <c r="L125" s="4" t="s">
        <v>578</v>
      </c>
      <c r="M125" s="4" t="s">
        <v>585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6" customHeight="1">
      <c r="A126" s="4" t="s">
        <v>800</v>
      </c>
      <c r="B126" s="4" t="s">
        <v>215</v>
      </c>
      <c r="C126" s="4" t="s">
        <v>801</v>
      </c>
      <c r="D126" s="9">
        <v>0.54810000000000003</v>
      </c>
      <c r="E126" s="8">
        <v>251</v>
      </c>
      <c r="F126" s="8">
        <v>165</v>
      </c>
      <c r="G126" s="8">
        <v>59</v>
      </c>
      <c r="H126" s="8">
        <v>28</v>
      </c>
      <c r="I126" s="8" t="s">
        <v>576</v>
      </c>
      <c r="J126" s="8">
        <v>23</v>
      </c>
      <c r="K126" s="4" t="s">
        <v>802</v>
      </c>
      <c r="L126" s="4" t="s">
        <v>578</v>
      </c>
      <c r="M126" s="4" t="s">
        <v>579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6" customHeight="1">
      <c r="A127" s="4" t="s">
        <v>803</v>
      </c>
      <c r="B127" s="4" t="s">
        <v>215</v>
      </c>
      <c r="C127" s="4" t="s">
        <v>617</v>
      </c>
      <c r="D127" s="9">
        <v>0.93240000000000001</v>
      </c>
      <c r="E127" s="8">
        <v>174</v>
      </c>
      <c r="F127" s="8">
        <v>180</v>
      </c>
      <c r="G127" s="8">
        <v>17</v>
      </c>
      <c r="H127" s="8">
        <v>21</v>
      </c>
      <c r="I127" s="8" t="s">
        <v>576</v>
      </c>
      <c r="J127" s="8">
        <v>17</v>
      </c>
      <c r="K127" s="4" t="s">
        <v>474</v>
      </c>
      <c r="L127" s="4" t="s">
        <v>578</v>
      </c>
      <c r="M127" s="4" t="s">
        <v>585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6" customHeight="1">
      <c r="A128" s="4" t="s">
        <v>804</v>
      </c>
      <c r="B128" s="4" t="s">
        <v>215</v>
      </c>
      <c r="C128" s="4" t="s">
        <v>228</v>
      </c>
      <c r="D128" s="9">
        <v>0.99909999999999999</v>
      </c>
      <c r="E128" s="8">
        <v>1</v>
      </c>
      <c r="F128" s="8">
        <v>184</v>
      </c>
      <c r="G128" s="8">
        <v>139</v>
      </c>
      <c r="H128" s="8">
        <v>19</v>
      </c>
      <c r="I128" s="8" t="s">
        <v>576</v>
      </c>
      <c r="J128" s="8">
        <v>16</v>
      </c>
      <c r="K128" s="4" t="s">
        <v>474</v>
      </c>
      <c r="L128" s="4" t="s">
        <v>578</v>
      </c>
      <c r="M128" s="4" t="s">
        <v>585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6" customHeight="1">
      <c r="A129" s="4" t="s">
        <v>805</v>
      </c>
      <c r="B129" s="4" t="s">
        <v>215</v>
      </c>
      <c r="C129" s="4" t="s">
        <v>458</v>
      </c>
      <c r="D129" s="9">
        <v>0.99609999999999999</v>
      </c>
      <c r="E129" s="8">
        <v>269</v>
      </c>
      <c r="F129" s="8">
        <v>201</v>
      </c>
      <c r="G129" s="8">
        <v>35</v>
      </c>
      <c r="H129" s="8">
        <v>35</v>
      </c>
      <c r="I129" s="8" t="s">
        <v>576</v>
      </c>
      <c r="J129" s="8">
        <v>29</v>
      </c>
      <c r="K129" s="4" t="s">
        <v>806</v>
      </c>
      <c r="L129" s="4" t="s">
        <v>583</v>
      </c>
      <c r="M129" s="4" t="s">
        <v>585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6" customHeight="1">
      <c r="A130" s="4" t="s">
        <v>807</v>
      </c>
      <c r="B130" s="4" t="s">
        <v>215</v>
      </c>
      <c r="C130" s="4" t="s">
        <v>230</v>
      </c>
      <c r="D130" s="9">
        <v>0.99880000000000002</v>
      </c>
      <c r="E130" s="8">
        <v>1</v>
      </c>
      <c r="F130" s="8">
        <v>203</v>
      </c>
      <c r="G130" s="8">
        <v>137</v>
      </c>
      <c r="H130" s="8">
        <v>19</v>
      </c>
      <c r="I130" s="8" t="s">
        <v>576</v>
      </c>
      <c r="J130" s="8">
        <v>16</v>
      </c>
      <c r="K130" s="4" t="s">
        <v>474</v>
      </c>
      <c r="L130" s="4" t="s">
        <v>578</v>
      </c>
      <c r="M130" s="4" t="s">
        <v>585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6" customHeight="1">
      <c r="A131" s="4" t="s">
        <v>808</v>
      </c>
      <c r="B131" s="4" t="s">
        <v>215</v>
      </c>
      <c r="C131" s="4" t="s">
        <v>234</v>
      </c>
      <c r="D131" s="9">
        <v>0.99519999999999997</v>
      </c>
      <c r="E131" s="8">
        <v>0</v>
      </c>
      <c r="F131" s="8">
        <v>221</v>
      </c>
      <c r="G131" s="8">
        <v>134</v>
      </c>
      <c r="H131" s="8">
        <v>21</v>
      </c>
      <c r="I131" s="8" t="s">
        <v>576</v>
      </c>
      <c r="J131" s="8">
        <v>17</v>
      </c>
      <c r="K131" s="4" t="s">
        <v>474</v>
      </c>
      <c r="L131" s="4" t="s">
        <v>578</v>
      </c>
      <c r="M131" s="4" t="s">
        <v>585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6" customHeight="1">
      <c r="A132" s="4" t="s">
        <v>809</v>
      </c>
      <c r="B132" s="4" t="s">
        <v>498</v>
      </c>
      <c r="C132" s="4" t="s">
        <v>810</v>
      </c>
      <c r="D132" s="9">
        <v>0.85860000000000003</v>
      </c>
      <c r="E132" s="8">
        <v>49</v>
      </c>
      <c r="F132" s="8">
        <v>59</v>
      </c>
      <c r="G132" s="8">
        <v>145</v>
      </c>
      <c r="H132" s="8">
        <v>27</v>
      </c>
      <c r="I132" s="8" t="s">
        <v>576</v>
      </c>
      <c r="J132" s="8">
        <v>22</v>
      </c>
      <c r="K132" s="4" t="s">
        <v>500</v>
      </c>
      <c r="L132" s="4" t="s">
        <v>578</v>
      </c>
      <c r="M132" s="4" t="s">
        <v>579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6" customHeight="1">
      <c r="A133" s="4" t="s">
        <v>811</v>
      </c>
      <c r="B133" s="4" t="s">
        <v>498</v>
      </c>
      <c r="C133" s="4" t="s">
        <v>812</v>
      </c>
      <c r="D133" s="9">
        <v>0.90800000000000003</v>
      </c>
      <c r="E133" s="8">
        <v>51</v>
      </c>
      <c r="F133" s="8">
        <v>62</v>
      </c>
      <c r="G133" s="8">
        <v>142</v>
      </c>
      <c r="H133" s="8">
        <v>23</v>
      </c>
      <c r="I133" s="8" t="s">
        <v>576</v>
      </c>
      <c r="J133" s="8">
        <v>19</v>
      </c>
      <c r="K133" s="4" t="s">
        <v>500</v>
      </c>
      <c r="L133" s="4" t="s">
        <v>583</v>
      </c>
      <c r="M133" s="4" t="s">
        <v>585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6" customHeight="1">
      <c r="A134" s="4" t="s">
        <v>813</v>
      </c>
      <c r="B134" s="4" t="s">
        <v>498</v>
      </c>
      <c r="C134" s="4" t="s">
        <v>814</v>
      </c>
      <c r="D134" s="9">
        <v>0.98929999999999996</v>
      </c>
      <c r="E134" s="8">
        <v>80</v>
      </c>
      <c r="F134" s="8">
        <v>96</v>
      </c>
      <c r="G134" s="8">
        <v>82</v>
      </c>
      <c r="H134" s="8">
        <v>14</v>
      </c>
      <c r="I134" s="8" t="s">
        <v>576</v>
      </c>
      <c r="J134" s="8">
        <v>11</v>
      </c>
      <c r="K134" s="4" t="s">
        <v>502</v>
      </c>
      <c r="L134" s="4" t="s">
        <v>578</v>
      </c>
      <c r="M134" s="4" t="s">
        <v>585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6" customHeight="1">
      <c r="A135" s="4" t="s">
        <v>815</v>
      </c>
      <c r="B135" s="4" t="s">
        <v>244</v>
      </c>
      <c r="C135" s="4" t="s">
        <v>236</v>
      </c>
      <c r="D135" s="9">
        <v>0.99929999999999997</v>
      </c>
      <c r="E135" s="8">
        <v>38</v>
      </c>
      <c r="F135" s="8">
        <v>38</v>
      </c>
      <c r="G135" s="8">
        <v>138</v>
      </c>
      <c r="H135" s="8">
        <v>24</v>
      </c>
      <c r="I135" s="8" t="s">
        <v>576</v>
      </c>
      <c r="J135" s="8">
        <v>20</v>
      </c>
      <c r="K135" s="4" t="s">
        <v>503</v>
      </c>
      <c r="L135" s="4" t="s">
        <v>578</v>
      </c>
      <c r="M135" s="4" t="s">
        <v>585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6" customHeight="1">
      <c r="A136" s="4" t="s">
        <v>816</v>
      </c>
      <c r="B136" s="4" t="s">
        <v>244</v>
      </c>
      <c r="C136" s="4" t="s">
        <v>241</v>
      </c>
      <c r="D136" s="9">
        <v>0.99970000000000003</v>
      </c>
      <c r="E136" s="8">
        <v>39</v>
      </c>
      <c r="F136" s="8">
        <v>78</v>
      </c>
      <c r="G136" s="8">
        <v>154</v>
      </c>
      <c r="H136" s="8">
        <v>23</v>
      </c>
      <c r="I136" s="8" t="s">
        <v>576</v>
      </c>
      <c r="J136" s="8">
        <v>19</v>
      </c>
      <c r="K136" s="4" t="s">
        <v>504</v>
      </c>
      <c r="L136" s="4" t="s">
        <v>583</v>
      </c>
      <c r="M136" s="4" t="s">
        <v>585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6" customHeight="1">
      <c r="A137" s="4" t="s">
        <v>817</v>
      </c>
      <c r="B137" s="4" t="s">
        <v>244</v>
      </c>
      <c r="C137" s="4" t="s">
        <v>818</v>
      </c>
      <c r="D137" s="9">
        <v>0.99909999999999999</v>
      </c>
      <c r="E137" s="8">
        <v>38</v>
      </c>
      <c r="F137" s="8">
        <v>119</v>
      </c>
      <c r="G137" s="8">
        <v>155</v>
      </c>
      <c r="H137" s="8">
        <v>22</v>
      </c>
      <c r="I137" s="8" t="s">
        <v>576</v>
      </c>
      <c r="J137" s="8">
        <v>18</v>
      </c>
      <c r="K137" s="4" t="s">
        <v>505</v>
      </c>
      <c r="L137" s="4" t="s">
        <v>578</v>
      </c>
      <c r="M137" s="4" t="s">
        <v>585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6" customHeight="1">
      <c r="A138" s="4" t="s">
        <v>819</v>
      </c>
      <c r="B138" s="4" t="s">
        <v>244</v>
      </c>
      <c r="C138" s="4" t="s">
        <v>248</v>
      </c>
      <c r="D138" s="9">
        <v>0.99870000000000003</v>
      </c>
      <c r="E138" s="8">
        <v>37</v>
      </c>
      <c r="F138" s="8">
        <v>159</v>
      </c>
      <c r="G138" s="8">
        <v>119</v>
      </c>
      <c r="H138" s="8">
        <v>23</v>
      </c>
      <c r="I138" s="8" t="s">
        <v>576</v>
      </c>
      <c r="J138" s="8">
        <v>19</v>
      </c>
      <c r="K138" s="4" t="s">
        <v>506</v>
      </c>
      <c r="L138" s="4" t="s">
        <v>578</v>
      </c>
      <c r="M138" s="4" t="s">
        <v>585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6" customHeight="1">
      <c r="A139" s="4" t="s">
        <v>820</v>
      </c>
      <c r="B139" s="4" t="s">
        <v>507</v>
      </c>
      <c r="C139" s="4" t="s">
        <v>250</v>
      </c>
      <c r="D139" s="9">
        <v>0.99970000000000003</v>
      </c>
      <c r="E139" s="8">
        <v>25</v>
      </c>
      <c r="F139" s="8">
        <v>0</v>
      </c>
      <c r="G139" s="8">
        <v>85</v>
      </c>
      <c r="H139" s="8">
        <v>24</v>
      </c>
      <c r="I139" s="8" t="s">
        <v>576</v>
      </c>
      <c r="J139" s="8">
        <v>20</v>
      </c>
      <c r="K139" s="4" t="s">
        <v>474</v>
      </c>
      <c r="L139" s="4" t="s">
        <v>583</v>
      </c>
      <c r="M139" s="4" t="s">
        <v>585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6" customHeight="1">
      <c r="A140" s="4" t="s">
        <v>821</v>
      </c>
      <c r="B140" s="4" t="s">
        <v>507</v>
      </c>
      <c r="C140" s="4" t="s">
        <v>250</v>
      </c>
      <c r="D140" s="9">
        <v>0.99819999999999998</v>
      </c>
      <c r="E140" s="8">
        <v>23</v>
      </c>
      <c r="F140" s="8">
        <v>20</v>
      </c>
      <c r="G140" s="8">
        <v>87</v>
      </c>
      <c r="H140" s="8">
        <v>25</v>
      </c>
      <c r="I140" s="8" t="s">
        <v>576</v>
      </c>
      <c r="J140" s="8">
        <v>20</v>
      </c>
      <c r="K140" s="4" t="s">
        <v>822</v>
      </c>
      <c r="L140" s="4" t="s">
        <v>578</v>
      </c>
      <c r="M140" s="4" t="s">
        <v>585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6" customHeight="1">
      <c r="A141" s="4" t="s">
        <v>823</v>
      </c>
      <c r="B141" s="4" t="s">
        <v>507</v>
      </c>
      <c r="C141" s="4" t="s">
        <v>824</v>
      </c>
      <c r="D141" s="9">
        <v>0.99990000000000001</v>
      </c>
      <c r="E141" s="8">
        <v>24</v>
      </c>
      <c r="F141" s="8">
        <v>20</v>
      </c>
      <c r="G141" s="8">
        <v>26</v>
      </c>
      <c r="H141" s="8">
        <v>26</v>
      </c>
      <c r="I141" s="8" t="s">
        <v>576</v>
      </c>
      <c r="J141" s="8">
        <v>21</v>
      </c>
      <c r="K141" s="4" t="s">
        <v>825</v>
      </c>
      <c r="L141" s="4" t="s">
        <v>583</v>
      </c>
      <c r="M141" s="4" t="s">
        <v>585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6" customHeight="1">
      <c r="A142" s="4" t="s">
        <v>826</v>
      </c>
      <c r="B142" s="4" t="s">
        <v>507</v>
      </c>
      <c r="C142" s="4" t="s">
        <v>827</v>
      </c>
      <c r="D142" s="9">
        <v>0.99980000000000002</v>
      </c>
      <c r="E142" s="8">
        <v>44</v>
      </c>
      <c r="F142" s="8">
        <v>21</v>
      </c>
      <c r="G142" s="8">
        <v>66</v>
      </c>
      <c r="H142" s="8">
        <v>24</v>
      </c>
      <c r="I142" s="8" t="s">
        <v>576</v>
      </c>
      <c r="J142" s="8">
        <v>20</v>
      </c>
      <c r="K142" s="4" t="s">
        <v>825</v>
      </c>
      <c r="L142" s="4" t="s">
        <v>583</v>
      </c>
      <c r="M142" s="4" t="s">
        <v>585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6" customHeight="1">
      <c r="A143" s="4" t="s">
        <v>828</v>
      </c>
      <c r="B143" s="4" t="s">
        <v>507</v>
      </c>
      <c r="C143" s="4" t="s">
        <v>250</v>
      </c>
      <c r="D143" s="9">
        <v>0.999</v>
      </c>
      <c r="E143" s="8">
        <v>21</v>
      </c>
      <c r="F143" s="8">
        <v>41</v>
      </c>
      <c r="G143" s="8">
        <v>87</v>
      </c>
      <c r="H143" s="8">
        <v>25</v>
      </c>
      <c r="I143" s="8" t="s">
        <v>576</v>
      </c>
      <c r="J143" s="8">
        <v>20</v>
      </c>
      <c r="K143" s="4" t="s">
        <v>829</v>
      </c>
      <c r="L143" s="4" t="s">
        <v>578</v>
      </c>
      <c r="M143" s="4" t="s">
        <v>585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6" customHeight="1">
      <c r="A144" s="4" t="s">
        <v>830</v>
      </c>
      <c r="B144" s="4" t="s">
        <v>507</v>
      </c>
      <c r="C144" s="4" t="s">
        <v>831</v>
      </c>
      <c r="D144" s="9">
        <v>0.99850000000000005</v>
      </c>
      <c r="E144" s="8">
        <v>63</v>
      </c>
      <c r="F144" s="8">
        <v>42</v>
      </c>
      <c r="G144" s="8">
        <v>43</v>
      </c>
      <c r="H144" s="8">
        <v>21</v>
      </c>
      <c r="I144" s="8" t="s">
        <v>576</v>
      </c>
      <c r="J144" s="8">
        <v>17</v>
      </c>
      <c r="K144" s="4" t="s">
        <v>832</v>
      </c>
      <c r="L144" s="4" t="s">
        <v>583</v>
      </c>
      <c r="M144" s="4" t="s">
        <v>585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6" customHeight="1">
      <c r="A145" s="4" t="s">
        <v>833</v>
      </c>
      <c r="B145" s="4" t="s">
        <v>507</v>
      </c>
      <c r="C145" s="4" t="s">
        <v>255</v>
      </c>
      <c r="D145" s="9">
        <v>0.99950000000000006</v>
      </c>
      <c r="E145" s="8">
        <v>21</v>
      </c>
      <c r="F145" s="8">
        <v>60</v>
      </c>
      <c r="G145" s="8">
        <v>49</v>
      </c>
      <c r="H145" s="8">
        <v>30</v>
      </c>
      <c r="I145" s="8" t="s">
        <v>576</v>
      </c>
      <c r="J145" s="8">
        <v>25</v>
      </c>
      <c r="K145" s="4" t="s">
        <v>510</v>
      </c>
      <c r="L145" s="4" t="s">
        <v>578</v>
      </c>
      <c r="M145" s="4" t="s">
        <v>585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6" customHeight="1">
      <c r="A146" s="4" t="s">
        <v>834</v>
      </c>
      <c r="B146" s="4" t="s">
        <v>507</v>
      </c>
      <c r="C146" s="4" t="s">
        <v>575</v>
      </c>
      <c r="D146" s="9">
        <v>0.60809999999999997</v>
      </c>
      <c r="E146" s="8">
        <v>1</v>
      </c>
      <c r="F146" s="8">
        <v>82</v>
      </c>
      <c r="G146" s="8">
        <v>21</v>
      </c>
      <c r="H146" s="8">
        <v>26</v>
      </c>
      <c r="I146" s="8" t="s">
        <v>576</v>
      </c>
      <c r="J146" s="8">
        <v>21</v>
      </c>
      <c r="K146" s="4" t="s">
        <v>835</v>
      </c>
      <c r="L146" s="4" t="s">
        <v>578</v>
      </c>
      <c r="M146" s="4" t="s">
        <v>579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6" customHeight="1">
      <c r="A147" s="4" t="s">
        <v>836</v>
      </c>
      <c r="B147" s="4" t="s">
        <v>507</v>
      </c>
      <c r="C147" s="4" t="s">
        <v>255</v>
      </c>
      <c r="D147" s="9">
        <v>0.87929999999999997</v>
      </c>
      <c r="E147" s="8">
        <v>21</v>
      </c>
      <c r="F147" s="8">
        <v>99</v>
      </c>
      <c r="G147" s="8">
        <v>47</v>
      </c>
      <c r="H147" s="8">
        <v>31</v>
      </c>
      <c r="I147" s="8" t="s">
        <v>576</v>
      </c>
      <c r="J147" s="8">
        <v>25</v>
      </c>
      <c r="K147" s="4" t="s">
        <v>832</v>
      </c>
      <c r="L147" s="4" t="s">
        <v>578</v>
      </c>
      <c r="M147" s="4" t="s">
        <v>579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6" customHeight="1">
      <c r="A148" s="4" t="s">
        <v>837</v>
      </c>
      <c r="B148" s="4" t="s">
        <v>507</v>
      </c>
      <c r="C148" s="4" t="s">
        <v>838</v>
      </c>
      <c r="D148" s="9">
        <v>0.89680000000000004</v>
      </c>
      <c r="E148" s="8">
        <v>2</v>
      </c>
      <c r="F148" s="8">
        <v>106</v>
      </c>
      <c r="G148" s="8">
        <v>19</v>
      </c>
      <c r="H148" s="8">
        <v>19</v>
      </c>
      <c r="I148" s="8" t="s">
        <v>576</v>
      </c>
      <c r="J148" s="8">
        <v>16</v>
      </c>
      <c r="K148" s="4" t="s">
        <v>468</v>
      </c>
      <c r="L148" s="4" t="s">
        <v>578</v>
      </c>
      <c r="M148" s="4" t="s">
        <v>579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6" customHeight="1">
      <c r="A149" s="4" t="s">
        <v>839</v>
      </c>
      <c r="B149" s="4" t="s">
        <v>264</v>
      </c>
      <c r="C149" s="4" t="s">
        <v>257</v>
      </c>
      <c r="D149" s="9">
        <v>0.99970000000000003</v>
      </c>
      <c r="E149" s="8">
        <v>37</v>
      </c>
      <c r="F149" s="8">
        <v>39</v>
      </c>
      <c r="G149" s="8">
        <v>79</v>
      </c>
      <c r="H149" s="8">
        <v>23</v>
      </c>
      <c r="I149" s="8" t="s">
        <v>576</v>
      </c>
      <c r="J149" s="8">
        <v>19</v>
      </c>
      <c r="K149" s="4" t="s">
        <v>511</v>
      </c>
      <c r="L149" s="4" t="s">
        <v>578</v>
      </c>
      <c r="M149" s="4" t="s">
        <v>585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6" customHeight="1">
      <c r="A150" s="4" t="s">
        <v>840</v>
      </c>
      <c r="B150" s="4" t="s">
        <v>264</v>
      </c>
      <c r="C150" s="4" t="s">
        <v>261</v>
      </c>
      <c r="D150" s="9">
        <v>0.99990000000000001</v>
      </c>
      <c r="E150" s="8">
        <v>36</v>
      </c>
      <c r="F150" s="8">
        <v>80</v>
      </c>
      <c r="G150" s="8">
        <v>49</v>
      </c>
      <c r="H150" s="8">
        <v>19</v>
      </c>
      <c r="I150" s="8" t="s">
        <v>576</v>
      </c>
      <c r="J150" s="8">
        <v>16</v>
      </c>
      <c r="K150" s="4" t="s">
        <v>511</v>
      </c>
      <c r="L150" s="4" t="s">
        <v>578</v>
      </c>
      <c r="M150" s="4" t="s">
        <v>585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6" customHeight="1">
      <c r="A151" s="4" t="s">
        <v>841</v>
      </c>
      <c r="B151" s="4" t="s">
        <v>264</v>
      </c>
      <c r="C151" s="4" t="s">
        <v>263</v>
      </c>
      <c r="D151" s="9">
        <v>0.99980000000000002</v>
      </c>
      <c r="E151" s="8">
        <v>37</v>
      </c>
      <c r="F151" s="8">
        <v>120</v>
      </c>
      <c r="G151" s="8">
        <v>68</v>
      </c>
      <c r="H151" s="8">
        <v>21</v>
      </c>
      <c r="I151" s="8" t="s">
        <v>576</v>
      </c>
      <c r="J151" s="8">
        <v>17</v>
      </c>
      <c r="K151" s="4" t="s">
        <v>512</v>
      </c>
      <c r="L151" s="4" t="s">
        <v>578</v>
      </c>
      <c r="M151" s="4" t="s">
        <v>585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6" customHeight="1">
      <c r="A152" s="4" t="s">
        <v>842</v>
      </c>
      <c r="B152" s="4" t="s">
        <v>264</v>
      </c>
      <c r="C152" s="4" t="s">
        <v>843</v>
      </c>
      <c r="D152" s="9">
        <v>0.99019999999999997</v>
      </c>
      <c r="E152" s="8">
        <v>36</v>
      </c>
      <c r="F152" s="8">
        <v>160</v>
      </c>
      <c r="G152" s="8">
        <v>122</v>
      </c>
      <c r="H152" s="8">
        <v>22</v>
      </c>
      <c r="I152" s="8" t="s">
        <v>576</v>
      </c>
      <c r="J152" s="8">
        <v>18</v>
      </c>
      <c r="K152" s="4" t="s">
        <v>513</v>
      </c>
      <c r="L152" s="4" t="s">
        <v>578</v>
      </c>
      <c r="M152" s="4" t="s">
        <v>585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6" customHeight="1">
      <c r="A153" s="4" t="s">
        <v>844</v>
      </c>
      <c r="B153" s="4" t="s">
        <v>269</v>
      </c>
      <c r="C153" s="4" t="s">
        <v>845</v>
      </c>
      <c r="D153" s="9">
        <v>0.96599999999999997</v>
      </c>
      <c r="E153" s="8">
        <v>506</v>
      </c>
      <c r="F153" s="8">
        <v>0</v>
      </c>
      <c r="G153" s="8">
        <v>143</v>
      </c>
      <c r="H153" s="8">
        <v>23</v>
      </c>
      <c r="I153" s="8" t="s">
        <v>576</v>
      </c>
      <c r="J153" s="8">
        <v>19</v>
      </c>
      <c r="K153" s="4" t="s">
        <v>474</v>
      </c>
      <c r="L153" s="4" t="s">
        <v>578</v>
      </c>
      <c r="M153" s="4" t="s">
        <v>585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6" customHeight="1">
      <c r="A154" s="4" t="s">
        <v>846</v>
      </c>
      <c r="B154" s="4" t="s">
        <v>269</v>
      </c>
      <c r="C154" s="4" t="s">
        <v>847</v>
      </c>
      <c r="D154" s="9">
        <v>0.98260000000000003</v>
      </c>
      <c r="E154" s="8">
        <v>5</v>
      </c>
      <c r="F154" s="8">
        <v>2</v>
      </c>
      <c r="G154" s="8">
        <v>480</v>
      </c>
      <c r="H154" s="8">
        <v>29</v>
      </c>
      <c r="I154" s="8" t="s">
        <v>576</v>
      </c>
      <c r="J154" s="8">
        <v>24</v>
      </c>
      <c r="K154" s="4" t="s">
        <v>468</v>
      </c>
      <c r="L154" s="4" t="s">
        <v>578</v>
      </c>
      <c r="M154" s="4" t="s">
        <v>585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6" customHeight="1">
      <c r="A155" s="4" t="s">
        <v>848</v>
      </c>
      <c r="B155" s="4" t="s">
        <v>269</v>
      </c>
      <c r="C155" s="4" t="s">
        <v>303</v>
      </c>
      <c r="D155" s="9">
        <v>0.99750000000000005</v>
      </c>
      <c r="E155" s="8">
        <v>341</v>
      </c>
      <c r="F155" s="8">
        <v>60</v>
      </c>
      <c r="G155" s="8">
        <v>248</v>
      </c>
      <c r="H155" s="8">
        <v>20</v>
      </c>
      <c r="I155" s="8" t="s">
        <v>576</v>
      </c>
      <c r="J155" s="8">
        <v>16</v>
      </c>
      <c r="K155" s="4" t="s">
        <v>522</v>
      </c>
      <c r="L155" s="4" t="s">
        <v>578</v>
      </c>
      <c r="M155" s="4" t="s">
        <v>585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6" customHeight="1">
      <c r="A156" s="4" t="s">
        <v>849</v>
      </c>
      <c r="B156" s="4" t="s">
        <v>269</v>
      </c>
      <c r="C156" s="4" t="s">
        <v>284</v>
      </c>
      <c r="D156" s="9">
        <v>0.99009999999999998</v>
      </c>
      <c r="E156" s="8">
        <v>51</v>
      </c>
      <c r="F156" s="8">
        <v>64</v>
      </c>
      <c r="G156" s="8">
        <v>295</v>
      </c>
      <c r="H156" s="8">
        <v>31</v>
      </c>
      <c r="I156" s="8" t="s">
        <v>576</v>
      </c>
      <c r="J156" s="8">
        <v>25</v>
      </c>
      <c r="K156" s="4" t="s">
        <v>825</v>
      </c>
      <c r="L156" s="4" t="s">
        <v>583</v>
      </c>
      <c r="M156" s="4" t="s">
        <v>585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6" customHeight="1">
      <c r="A157" s="4" t="s">
        <v>850</v>
      </c>
      <c r="B157" s="4" t="s">
        <v>269</v>
      </c>
      <c r="C157" s="4" t="s">
        <v>851</v>
      </c>
      <c r="D157" s="9">
        <v>0.94969999999999999</v>
      </c>
      <c r="E157" s="8">
        <v>340</v>
      </c>
      <c r="F157" s="8">
        <v>92</v>
      </c>
      <c r="G157" s="8">
        <v>215</v>
      </c>
      <c r="H157" s="8">
        <v>25</v>
      </c>
      <c r="I157" s="8" t="s">
        <v>576</v>
      </c>
      <c r="J157" s="8">
        <v>20</v>
      </c>
      <c r="K157" s="4" t="s">
        <v>518</v>
      </c>
      <c r="L157" s="4" t="s">
        <v>583</v>
      </c>
      <c r="M157" s="4" t="s">
        <v>585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6" customHeight="1">
      <c r="A158" s="4" t="s">
        <v>852</v>
      </c>
      <c r="B158" s="4" t="s">
        <v>269</v>
      </c>
      <c r="C158" s="4" t="s">
        <v>297</v>
      </c>
      <c r="D158" s="9">
        <v>0.95069999999999999</v>
      </c>
      <c r="E158" s="8">
        <v>386</v>
      </c>
      <c r="F158" s="8">
        <v>92</v>
      </c>
      <c r="G158" s="8">
        <v>169</v>
      </c>
      <c r="H158" s="8">
        <v>25</v>
      </c>
      <c r="I158" s="8" t="s">
        <v>576</v>
      </c>
      <c r="J158" s="8">
        <v>20</v>
      </c>
      <c r="K158" s="4" t="s">
        <v>474</v>
      </c>
      <c r="L158" s="4" t="s">
        <v>578</v>
      </c>
      <c r="M158" s="4" t="s">
        <v>585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6" customHeight="1">
      <c r="A159" s="4" t="s">
        <v>853</v>
      </c>
      <c r="B159" s="4" t="s">
        <v>269</v>
      </c>
      <c r="C159" s="4" t="s">
        <v>284</v>
      </c>
      <c r="D159" s="9">
        <v>0.99439999999999995</v>
      </c>
      <c r="E159" s="8">
        <v>53</v>
      </c>
      <c r="F159" s="8">
        <v>97</v>
      </c>
      <c r="G159" s="8">
        <v>291</v>
      </c>
      <c r="H159" s="8">
        <v>30</v>
      </c>
      <c r="I159" s="8" t="s">
        <v>576</v>
      </c>
      <c r="J159" s="8">
        <v>25</v>
      </c>
      <c r="K159" s="4" t="s">
        <v>518</v>
      </c>
      <c r="L159" s="4" t="s">
        <v>578</v>
      </c>
      <c r="M159" s="4" t="s">
        <v>585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6" customHeight="1">
      <c r="A160" s="4" t="s">
        <v>854</v>
      </c>
      <c r="B160" s="4" t="s">
        <v>269</v>
      </c>
      <c r="C160" s="4" t="s">
        <v>116</v>
      </c>
      <c r="D160" s="9">
        <v>0.99990000000000001</v>
      </c>
      <c r="E160" s="8">
        <v>607</v>
      </c>
      <c r="F160" s="8">
        <v>98</v>
      </c>
      <c r="G160" s="8">
        <v>45</v>
      </c>
      <c r="H160" s="8">
        <v>27</v>
      </c>
      <c r="I160" s="8" t="s">
        <v>576</v>
      </c>
      <c r="J160" s="8">
        <v>22</v>
      </c>
      <c r="K160" s="4" t="s">
        <v>483</v>
      </c>
      <c r="L160" s="4" t="s">
        <v>578</v>
      </c>
      <c r="M160" s="4" t="s">
        <v>585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6" customHeight="1">
      <c r="A161" s="4" t="s">
        <v>855</v>
      </c>
      <c r="B161" s="4" t="s">
        <v>269</v>
      </c>
      <c r="C161" s="4" t="s">
        <v>856</v>
      </c>
      <c r="D161" s="9">
        <v>0.9657</v>
      </c>
      <c r="E161" s="8">
        <v>0</v>
      </c>
      <c r="F161" s="8">
        <v>119</v>
      </c>
      <c r="G161" s="8">
        <v>549</v>
      </c>
      <c r="H161" s="8">
        <v>41</v>
      </c>
      <c r="I161" s="8" t="s">
        <v>576</v>
      </c>
      <c r="J161" s="8">
        <v>34</v>
      </c>
      <c r="K161" s="4" t="s">
        <v>516</v>
      </c>
      <c r="L161" s="4" t="s">
        <v>578</v>
      </c>
      <c r="M161" s="4" t="s">
        <v>585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6" customHeight="1">
      <c r="A162" s="4" t="s">
        <v>857</v>
      </c>
      <c r="B162" s="4" t="s">
        <v>269</v>
      </c>
      <c r="C162" s="4" t="s">
        <v>122</v>
      </c>
      <c r="D162" s="9">
        <v>0.99629999999999996</v>
      </c>
      <c r="E162" s="8">
        <v>594</v>
      </c>
      <c r="F162" s="8">
        <v>131</v>
      </c>
      <c r="G162" s="8">
        <v>59</v>
      </c>
      <c r="H162" s="8">
        <v>27</v>
      </c>
      <c r="I162" s="8" t="s">
        <v>576</v>
      </c>
      <c r="J162" s="8">
        <v>22</v>
      </c>
      <c r="K162" s="4" t="s">
        <v>483</v>
      </c>
      <c r="L162" s="4" t="s">
        <v>583</v>
      </c>
      <c r="M162" s="4" t="s">
        <v>585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6" customHeight="1">
      <c r="A163" s="4" t="s">
        <v>858</v>
      </c>
      <c r="B163" s="4" t="s">
        <v>269</v>
      </c>
      <c r="C163" s="4" t="s">
        <v>286</v>
      </c>
      <c r="D163" s="9">
        <v>0.99529999999999996</v>
      </c>
      <c r="E163" s="8">
        <v>46</v>
      </c>
      <c r="F163" s="8">
        <v>158</v>
      </c>
      <c r="G163" s="8">
        <v>284</v>
      </c>
      <c r="H163" s="8">
        <v>32</v>
      </c>
      <c r="I163" s="8" t="s">
        <v>576</v>
      </c>
      <c r="J163" s="8">
        <v>26</v>
      </c>
      <c r="K163" s="4" t="s">
        <v>859</v>
      </c>
      <c r="L163" s="4" t="s">
        <v>583</v>
      </c>
      <c r="M163" s="4" t="s">
        <v>585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6" customHeight="1">
      <c r="A164" s="4" t="s">
        <v>860</v>
      </c>
      <c r="B164" s="4" t="s">
        <v>269</v>
      </c>
      <c r="C164" s="4" t="s">
        <v>861</v>
      </c>
      <c r="D164" s="9">
        <v>0.96799999999999997</v>
      </c>
      <c r="E164" s="8">
        <v>53</v>
      </c>
      <c r="F164" s="8">
        <v>159</v>
      </c>
      <c r="G164" s="8">
        <v>521</v>
      </c>
      <c r="H164" s="8">
        <v>32</v>
      </c>
      <c r="I164" s="8" t="s">
        <v>576</v>
      </c>
      <c r="J164" s="8">
        <v>26</v>
      </c>
      <c r="K164" s="4" t="s">
        <v>862</v>
      </c>
      <c r="L164" s="4" t="s">
        <v>578</v>
      </c>
      <c r="M164" s="4" t="s">
        <v>585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6" customHeight="1">
      <c r="A165" s="4" t="s">
        <v>863</v>
      </c>
      <c r="B165" s="4" t="s">
        <v>269</v>
      </c>
      <c r="C165" s="4" t="s">
        <v>286</v>
      </c>
      <c r="D165" s="9">
        <v>0.99680000000000002</v>
      </c>
      <c r="E165" s="8">
        <v>327</v>
      </c>
      <c r="F165" s="8">
        <v>159</v>
      </c>
      <c r="G165" s="8">
        <v>247</v>
      </c>
      <c r="H165" s="8">
        <v>31</v>
      </c>
      <c r="I165" s="8" t="s">
        <v>576</v>
      </c>
      <c r="J165" s="8">
        <v>25</v>
      </c>
      <c r="K165" s="4" t="s">
        <v>475</v>
      </c>
      <c r="L165" s="4" t="s">
        <v>583</v>
      </c>
      <c r="M165" s="4" t="s">
        <v>585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6" customHeight="1">
      <c r="A166" s="4" t="s">
        <v>864</v>
      </c>
      <c r="B166" s="4" t="s">
        <v>269</v>
      </c>
      <c r="C166" s="4" t="s">
        <v>865</v>
      </c>
      <c r="D166" s="9">
        <v>0.97250000000000003</v>
      </c>
      <c r="E166" s="8">
        <v>44</v>
      </c>
      <c r="F166" s="8">
        <v>184</v>
      </c>
      <c r="G166" s="8">
        <v>516</v>
      </c>
      <c r="H166" s="8">
        <v>32</v>
      </c>
      <c r="I166" s="8" t="s">
        <v>576</v>
      </c>
      <c r="J166" s="8">
        <v>26</v>
      </c>
      <c r="K166" s="4" t="s">
        <v>866</v>
      </c>
      <c r="L166" s="4" t="s">
        <v>578</v>
      </c>
      <c r="M166" s="4" t="s">
        <v>585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6" customHeight="1">
      <c r="A167" s="4" t="s">
        <v>867</v>
      </c>
      <c r="B167" s="4" t="s">
        <v>269</v>
      </c>
      <c r="C167" s="4" t="s">
        <v>116</v>
      </c>
      <c r="D167" s="9">
        <v>0.99990000000000001</v>
      </c>
      <c r="E167" s="8">
        <v>599</v>
      </c>
      <c r="F167" s="8">
        <v>186</v>
      </c>
      <c r="G167" s="8">
        <v>47</v>
      </c>
      <c r="H167" s="8">
        <v>26</v>
      </c>
      <c r="I167" s="8" t="s">
        <v>576</v>
      </c>
      <c r="J167" s="8">
        <v>21</v>
      </c>
      <c r="K167" s="4" t="s">
        <v>474</v>
      </c>
      <c r="L167" s="4" t="s">
        <v>578</v>
      </c>
      <c r="M167" s="4" t="s">
        <v>585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6" customHeight="1">
      <c r="A168" s="4" t="s">
        <v>868</v>
      </c>
      <c r="B168" s="4" t="s">
        <v>269</v>
      </c>
      <c r="C168" s="4" t="s">
        <v>869</v>
      </c>
      <c r="D168" s="9">
        <v>0.97609999999999997</v>
      </c>
      <c r="E168" s="8">
        <v>7</v>
      </c>
      <c r="F168" s="8">
        <v>207</v>
      </c>
      <c r="G168" s="8">
        <v>527</v>
      </c>
      <c r="H168" s="8">
        <v>41</v>
      </c>
      <c r="I168" s="8" t="s">
        <v>576</v>
      </c>
      <c r="J168" s="8">
        <v>34</v>
      </c>
      <c r="K168" s="4" t="s">
        <v>515</v>
      </c>
      <c r="L168" s="4" t="s">
        <v>578</v>
      </c>
      <c r="M168" s="4" t="s">
        <v>585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6" customHeight="1">
      <c r="A169" s="4" t="s">
        <v>870</v>
      </c>
      <c r="B169" s="4" t="s">
        <v>269</v>
      </c>
      <c r="C169" s="4" t="s">
        <v>122</v>
      </c>
      <c r="D169" s="9">
        <v>0.99990000000000001</v>
      </c>
      <c r="E169" s="8">
        <v>583</v>
      </c>
      <c r="F169" s="8">
        <v>221</v>
      </c>
      <c r="G169" s="8">
        <v>61</v>
      </c>
      <c r="H169" s="8">
        <v>25</v>
      </c>
      <c r="I169" s="8" t="s">
        <v>576</v>
      </c>
      <c r="J169" s="8">
        <v>20</v>
      </c>
      <c r="K169" s="4" t="s">
        <v>474</v>
      </c>
      <c r="L169" s="4" t="s">
        <v>578</v>
      </c>
      <c r="M169" s="4" t="s">
        <v>585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6" customHeight="1">
      <c r="A170" s="4" t="s">
        <v>871</v>
      </c>
      <c r="B170" s="4" t="s">
        <v>269</v>
      </c>
      <c r="C170" s="4" t="s">
        <v>872</v>
      </c>
      <c r="D170" s="9">
        <v>0.4541</v>
      </c>
      <c r="E170" s="8">
        <v>632</v>
      </c>
      <c r="F170" s="8">
        <v>244</v>
      </c>
      <c r="G170" s="8">
        <v>25</v>
      </c>
      <c r="H170" s="8">
        <v>35</v>
      </c>
      <c r="I170" s="8" t="s">
        <v>576</v>
      </c>
      <c r="J170" s="8">
        <v>29</v>
      </c>
      <c r="K170" s="4" t="s">
        <v>474</v>
      </c>
      <c r="L170" s="4" t="s">
        <v>578</v>
      </c>
      <c r="M170" s="4" t="s">
        <v>579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6" customHeight="1">
      <c r="A171" s="4" t="s">
        <v>873</v>
      </c>
      <c r="B171" s="4" t="s">
        <v>269</v>
      </c>
      <c r="C171" s="4" t="s">
        <v>874</v>
      </c>
      <c r="D171" s="9">
        <v>0.99660000000000004</v>
      </c>
      <c r="E171" s="8">
        <v>470</v>
      </c>
      <c r="F171" s="8">
        <v>245</v>
      </c>
      <c r="G171" s="8">
        <v>165</v>
      </c>
      <c r="H171" s="8">
        <v>18</v>
      </c>
      <c r="I171" s="8" t="s">
        <v>576</v>
      </c>
      <c r="J171" s="8">
        <v>15</v>
      </c>
      <c r="K171" s="4" t="s">
        <v>518</v>
      </c>
      <c r="L171" s="4" t="s">
        <v>578</v>
      </c>
      <c r="M171" s="4" t="s">
        <v>585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6" customHeight="1">
      <c r="A172" s="4" t="s">
        <v>875</v>
      </c>
      <c r="B172" s="4" t="s">
        <v>269</v>
      </c>
      <c r="C172" s="4" t="s">
        <v>876</v>
      </c>
      <c r="D172" s="9">
        <v>0.52370000000000005</v>
      </c>
      <c r="E172" s="8">
        <v>633</v>
      </c>
      <c r="F172" s="8">
        <v>247</v>
      </c>
      <c r="G172" s="8">
        <v>23</v>
      </c>
      <c r="H172" s="8">
        <v>31</v>
      </c>
      <c r="I172" s="8" t="s">
        <v>576</v>
      </c>
      <c r="J172" s="8">
        <v>25</v>
      </c>
      <c r="K172" s="4" t="s">
        <v>474</v>
      </c>
      <c r="L172" s="4" t="s">
        <v>583</v>
      </c>
      <c r="M172" s="4" t="s">
        <v>579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6" customHeight="1">
      <c r="A173" s="4" t="s">
        <v>877</v>
      </c>
      <c r="B173" s="4" t="s">
        <v>269</v>
      </c>
      <c r="C173" s="4" t="s">
        <v>288</v>
      </c>
      <c r="D173" s="9">
        <v>0.99950000000000006</v>
      </c>
      <c r="E173" s="8">
        <v>52</v>
      </c>
      <c r="F173" s="8">
        <v>248</v>
      </c>
      <c r="G173" s="8">
        <v>208</v>
      </c>
      <c r="H173" s="8">
        <v>30</v>
      </c>
      <c r="I173" s="8" t="s">
        <v>576</v>
      </c>
      <c r="J173" s="8">
        <v>25</v>
      </c>
      <c r="K173" s="4" t="s">
        <v>878</v>
      </c>
      <c r="L173" s="4" t="s">
        <v>583</v>
      </c>
      <c r="M173" s="4" t="s">
        <v>585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6" customHeight="1">
      <c r="A174" s="4" t="s">
        <v>879</v>
      </c>
      <c r="B174" s="4" t="s">
        <v>269</v>
      </c>
      <c r="C174" s="4" t="s">
        <v>292</v>
      </c>
      <c r="D174" s="9">
        <v>0.999</v>
      </c>
      <c r="E174" s="8">
        <v>303</v>
      </c>
      <c r="F174" s="8">
        <v>251</v>
      </c>
      <c r="G174" s="8">
        <v>169</v>
      </c>
      <c r="H174" s="8">
        <v>27</v>
      </c>
      <c r="I174" s="8" t="s">
        <v>576</v>
      </c>
      <c r="J174" s="8">
        <v>22</v>
      </c>
      <c r="K174" s="4" t="s">
        <v>474</v>
      </c>
      <c r="L174" s="4" t="s">
        <v>583</v>
      </c>
      <c r="M174" s="4" t="s">
        <v>585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6" customHeight="1">
      <c r="A175" s="4" t="s">
        <v>880</v>
      </c>
      <c r="B175" s="4" t="s">
        <v>269</v>
      </c>
      <c r="C175" s="4" t="s">
        <v>307</v>
      </c>
      <c r="D175" s="9">
        <v>0.99980000000000002</v>
      </c>
      <c r="E175" s="8">
        <v>515</v>
      </c>
      <c r="F175" s="8">
        <v>274</v>
      </c>
      <c r="G175" s="8">
        <v>119</v>
      </c>
      <c r="H175" s="8">
        <v>30</v>
      </c>
      <c r="I175" s="8" t="s">
        <v>576</v>
      </c>
      <c r="J175" s="8">
        <v>25</v>
      </c>
      <c r="K175" s="4" t="s">
        <v>474</v>
      </c>
      <c r="L175" s="4" t="s">
        <v>578</v>
      </c>
      <c r="M175" s="4" t="s">
        <v>585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6" customHeight="1">
      <c r="A176" s="4" t="s">
        <v>881</v>
      </c>
      <c r="B176" s="4" t="s">
        <v>269</v>
      </c>
      <c r="C176" s="4" t="s">
        <v>288</v>
      </c>
      <c r="D176" s="9">
        <v>0.99970000000000003</v>
      </c>
      <c r="E176" s="8">
        <v>53</v>
      </c>
      <c r="F176" s="8">
        <v>279</v>
      </c>
      <c r="G176" s="8">
        <v>236</v>
      </c>
      <c r="H176" s="8">
        <v>32</v>
      </c>
      <c r="I176" s="8" t="s">
        <v>576</v>
      </c>
      <c r="J176" s="8">
        <v>26</v>
      </c>
      <c r="K176" s="4" t="s">
        <v>519</v>
      </c>
      <c r="L176" s="4" t="s">
        <v>583</v>
      </c>
      <c r="M176" s="4" t="s">
        <v>585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6" customHeight="1">
      <c r="A177" s="4" t="s">
        <v>882</v>
      </c>
      <c r="B177" s="4" t="s">
        <v>269</v>
      </c>
      <c r="C177" s="4" t="s">
        <v>292</v>
      </c>
      <c r="D177" s="9">
        <v>0.99960000000000004</v>
      </c>
      <c r="E177" s="8">
        <v>303</v>
      </c>
      <c r="F177" s="8">
        <v>282</v>
      </c>
      <c r="G177" s="8">
        <v>170</v>
      </c>
      <c r="H177" s="8">
        <v>27</v>
      </c>
      <c r="I177" s="8" t="s">
        <v>576</v>
      </c>
      <c r="J177" s="8">
        <v>22</v>
      </c>
      <c r="K177" s="4" t="s">
        <v>520</v>
      </c>
      <c r="L177" s="4" t="s">
        <v>583</v>
      </c>
      <c r="M177" s="4" t="s">
        <v>585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6" customHeight="1">
      <c r="A178" s="4" t="s">
        <v>883</v>
      </c>
      <c r="B178" s="4" t="s">
        <v>269</v>
      </c>
      <c r="C178" s="4" t="s">
        <v>884</v>
      </c>
      <c r="D178" s="9">
        <v>0.93889999999999996</v>
      </c>
      <c r="E178" s="8">
        <v>299</v>
      </c>
      <c r="F178" s="8">
        <v>303</v>
      </c>
      <c r="G178" s="8">
        <v>349</v>
      </c>
      <c r="H178" s="8">
        <v>35</v>
      </c>
      <c r="I178" s="8" t="s">
        <v>576</v>
      </c>
      <c r="J178" s="8">
        <v>29</v>
      </c>
      <c r="K178" s="4" t="s">
        <v>885</v>
      </c>
      <c r="L178" s="4" t="s">
        <v>583</v>
      </c>
      <c r="M178" s="4" t="s">
        <v>585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6" customHeight="1">
      <c r="A179" s="4" t="s">
        <v>886</v>
      </c>
      <c r="B179" s="4" t="s">
        <v>269</v>
      </c>
      <c r="C179" s="4" t="s">
        <v>887</v>
      </c>
      <c r="D179" s="9">
        <v>0.92279999999999995</v>
      </c>
      <c r="E179" s="8">
        <v>301</v>
      </c>
      <c r="F179" s="8">
        <v>306</v>
      </c>
      <c r="G179" s="8">
        <v>251</v>
      </c>
      <c r="H179" s="8">
        <v>30</v>
      </c>
      <c r="I179" s="8" t="s">
        <v>576</v>
      </c>
      <c r="J179" s="8">
        <v>25</v>
      </c>
      <c r="K179" s="4" t="s">
        <v>888</v>
      </c>
      <c r="L179" s="4" t="s">
        <v>578</v>
      </c>
      <c r="M179" s="4" t="s">
        <v>585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6" customHeight="1">
      <c r="A180" s="4" t="s">
        <v>889</v>
      </c>
      <c r="B180" s="4" t="s">
        <v>269</v>
      </c>
      <c r="C180" s="4" t="s">
        <v>890</v>
      </c>
      <c r="D180" s="9">
        <v>0.96530000000000005</v>
      </c>
      <c r="E180" s="8">
        <v>541</v>
      </c>
      <c r="F180" s="8">
        <v>307</v>
      </c>
      <c r="G180" s="8">
        <v>108</v>
      </c>
      <c r="H180" s="8">
        <v>25</v>
      </c>
      <c r="I180" s="8" t="s">
        <v>576</v>
      </c>
      <c r="J180" s="8">
        <v>20</v>
      </c>
      <c r="K180" s="4" t="s">
        <v>474</v>
      </c>
      <c r="L180" s="4" t="s">
        <v>578</v>
      </c>
      <c r="M180" s="4" t="s">
        <v>585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6" customHeight="1">
      <c r="A181" s="4" t="s">
        <v>891</v>
      </c>
      <c r="B181" s="4" t="s">
        <v>269</v>
      </c>
      <c r="C181" s="4" t="s">
        <v>887</v>
      </c>
      <c r="D181" s="9">
        <v>0.9395</v>
      </c>
      <c r="E181" s="8">
        <v>53</v>
      </c>
      <c r="F181" s="8">
        <v>308</v>
      </c>
      <c r="G181" s="8">
        <v>235</v>
      </c>
      <c r="H181" s="8">
        <v>37</v>
      </c>
      <c r="I181" s="8" t="s">
        <v>576</v>
      </c>
      <c r="J181" s="8">
        <v>30</v>
      </c>
      <c r="K181" s="4" t="s">
        <v>892</v>
      </c>
      <c r="L181" s="4" t="s">
        <v>583</v>
      </c>
      <c r="M181" s="4" t="s">
        <v>585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6" customHeight="1">
      <c r="A182" s="4" t="s">
        <v>893</v>
      </c>
      <c r="B182" s="4" t="s">
        <v>269</v>
      </c>
      <c r="C182" s="4" t="s">
        <v>894</v>
      </c>
      <c r="D182" s="9">
        <v>0.99350000000000005</v>
      </c>
      <c r="E182" s="8">
        <v>53</v>
      </c>
      <c r="F182" s="8">
        <v>309</v>
      </c>
      <c r="G182" s="8">
        <v>238</v>
      </c>
      <c r="H182" s="8">
        <v>35</v>
      </c>
      <c r="I182" s="8" t="s">
        <v>576</v>
      </c>
      <c r="J182" s="8">
        <v>29</v>
      </c>
      <c r="K182" s="4" t="s">
        <v>895</v>
      </c>
      <c r="L182" s="4" t="s">
        <v>578</v>
      </c>
      <c r="M182" s="4" t="s">
        <v>585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6" customHeight="1">
      <c r="A183" s="4" t="s">
        <v>896</v>
      </c>
      <c r="B183" s="4" t="s">
        <v>269</v>
      </c>
      <c r="C183" s="4" t="s">
        <v>897</v>
      </c>
      <c r="D183" s="9">
        <v>0.98960000000000004</v>
      </c>
      <c r="E183" s="8">
        <v>303</v>
      </c>
      <c r="F183" s="8">
        <v>332</v>
      </c>
      <c r="G183" s="8">
        <v>349</v>
      </c>
      <c r="H183" s="8">
        <v>36</v>
      </c>
      <c r="I183" s="8" t="s">
        <v>576</v>
      </c>
      <c r="J183" s="8">
        <v>30</v>
      </c>
      <c r="K183" s="4" t="s">
        <v>862</v>
      </c>
      <c r="L183" s="4" t="s">
        <v>578</v>
      </c>
      <c r="M183" s="4" t="s">
        <v>585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6" customHeight="1">
      <c r="A184" s="4" t="s">
        <v>898</v>
      </c>
      <c r="B184" s="4" t="s">
        <v>269</v>
      </c>
      <c r="C184" s="4" t="s">
        <v>301</v>
      </c>
      <c r="D184" s="9">
        <v>0.99929999999999997</v>
      </c>
      <c r="E184" s="8">
        <v>304</v>
      </c>
      <c r="F184" s="8">
        <v>335</v>
      </c>
      <c r="G184" s="8">
        <v>183</v>
      </c>
      <c r="H184" s="8">
        <v>33</v>
      </c>
      <c r="I184" s="8" t="s">
        <v>576</v>
      </c>
      <c r="J184" s="8">
        <v>27</v>
      </c>
      <c r="K184" s="4" t="s">
        <v>866</v>
      </c>
      <c r="L184" s="4" t="s">
        <v>583</v>
      </c>
      <c r="M184" s="4" t="s">
        <v>585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6" customHeight="1">
      <c r="A185" s="4" t="s">
        <v>899</v>
      </c>
      <c r="B185" s="4" t="s">
        <v>269</v>
      </c>
      <c r="C185" s="4" t="s">
        <v>301</v>
      </c>
      <c r="D185" s="9">
        <v>0.99950000000000006</v>
      </c>
      <c r="E185" s="8">
        <v>500</v>
      </c>
      <c r="F185" s="8">
        <v>335</v>
      </c>
      <c r="G185" s="8">
        <v>151</v>
      </c>
      <c r="H185" s="8">
        <v>33</v>
      </c>
      <c r="I185" s="8" t="s">
        <v>576</v>
      </c>
      <c r="J185" s="8">
        <v>27</v>
      </c>
      <c r="K185" s="4" t="s">
        <v>521</v>
      </c>
      <c r="L185" s="4" t="s">
        <v>583</v>
      </c>
      <c r="M185" s="4" t="s">
        <v>585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6" customHeight="1">
      <c r="A186" s="4" t="s">
        <v>900</v>
      </c>
      <c r="B186" s="4" t="s">
        <v>269</v>
      </c>
      <c r="C186" s="4" t="s">
        <v>901</v>
      </c>
      <c r="D186" s="9">
        <v>0.998</v>
      </c>
      <c r="E186" s="8">
        <v>56</v>
      </c>
      <c r="F186" s="8">
        <v>342</v>
      </c>
      <c r="G186" s="8">
        <v>178</v>
      </c>
      <c r="H186" s="8">
        <v>31</v>
      </c>
      <c r="I186" s="8" t="s">
        <v>576</v>
      </c>
      <c r="J186" s="8">
        <v>25</v>
      </c>
      <c r="K186" s="4" t="s">
        <v>825</v>
      </c>
      <c r="L186" s="4" t="s">
        <v>578</v>
      </c>
      <c r="M186" s="4" t="s">
        <v>585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6" customHeight="1">
      <c r="A187" s="4" t="s">
        <v>902</v>
      </c>
      <c r="B187" s="4" t="s">
        <v>269</v>
      </c>
      <c r="C187" s="4" t="s">
        <v>894</v>
      </c>
      <c r="D187" s="9">
        <v>0.99950000000000006</v>
      </c>
      <c r="E187" s="8">
        <v>55</v>
      </c>
      <c r="F187" s="8">
        <v>343</v>
      </c>
      <c r="G187" s="8">
        <v>199</v>
      </c>
      <c r="H187" s="8">
        <v>30</v>
      </c>
      <c r="I187" s="8" t="s">
        <v>576</v>
      </c>
      <c r="J187" s="8">
        <v>25</v>
      </c>
      <c r="K187" s="4" t="s">
        <v>521</v>
      </c>
      <c r="L187" s="4" t="s">
        <v>583</v>
      </c>
      <c r="M187" s="4" t="s">
        <v>585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6" customHeight="1">
      <c r="A188" s="4" t="s">
        <v>903</v>
      </c>
      <c r="B188" s="4" t="s">
        <v>269</v>
      </c>
      <c r="C188" s="4" t="s">
        <v>904</v>
      </c>
      <c r="D188" s="9">
        <v>0.91710000000000003</v>
      </c>
      <c r="E188" s="8">
        <v>300</v>
      </c>
      <c r="F188" s="8">
        <v>362</v>
      </c>
      <c r="G188" s="8">
        <v>355</v>
      </c>
      <c r="H188" s="8">
        <v>31</v>
      </c>
      <c r="I188" s="8" t="s">
        <v>576</v>
      </c>
      <c r="J188" s="8">
        <v>25</v>
      </c>
      <c r="K188" s="4" t="s">
        <v>905</v>
      </c>
      <c r="L188" s="4" t="s">
        <v>578</v>
      </c>
      <c r="M188" s="4" t="s">
        <v>585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6" customHeight="1">
      <c r="A189" s="4" t="s">
        <v>906</v>
      </c>
      <c r="B189" s="4" t="s">
        <v>269</v>
      </c>
      <c r="C189" s="4" t="s">
        <v>907</v>
      </c>
      <c r="D189" s="9">
        <v>0.9466</v>
      </c>
      <c r="E189" s="8">
        <v>300</v>
      </c>
      <c r="F189" s="8">
        <v>364</v>
      </c>
      <c r="G189" s="8">
        <v>353</v>
      </c>
      <c r="H189" s="8">
        <v>28</v>
      </c>
      <c r="I189" s="8" t="s">
        <v>576</v>
      </c>
      <c r="J189" s="8">
        <v>23</v>
      </c>
      <c r="K189" s="4" t="s">
        <v>905</v>
      </c>
      <c r="L189" s="4" t="s">
        <v>583</v>
      </c>
      <c r="M189" s="4" t="s">
        <v>585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6" customHeight="1">
      <c r="A190" s="4" t="s">
        <v>908</v>
      </c>
      <c r="B190" s="4" t="s">
        <v>269</v>
      </c>
      <c r="C190" s="4" t="s">
        <v>909</v>
      </c>
      <c r="D190" s="9">
        <v>0.99639999999999995</v>
      </c>
      <c r="E190" s="8">
        <v>1</v>
      </c>
      <c r="F190" s="8">
        <v>369</v>
      </c>
      <c r="G190" s="8">
        <v>25</v>
      </c>
      <c r="H190" s="8">
        <v>31</v>
      </c>
      <c r="I190" s="8" t="s">
        <v>576</v>
      </c>
      <c r="J190" s="8">
        <v>25</v>
      </c>
      <c r="K190" s="4" t="s">
        <v>517</v>
      </c>
      <c r="L190" s="4" t="s">
        <v>578</v>
      </c>
      <c r="M190" s="4" t="s">
        <v>585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6" customHeight="1">
      <c r="A191" s="4" t="s">
        <v>910</v>
      </c>
      <c r="B191" s="4" t="s">
        <v>269</v>
      </c>
      <c r="C191" s="4" t="s">
        <v>911</v>
      </c>
      <c r="D191" s="9">
        <v>0.99939999999999996</v>
      </c>
      <c r="E191" s="8">
        <v>25</v>
      </c>
      <c r="F191" s="8">
        <v>371</v>
      </c>
      <c r="G191" s="8">
        <v>31</v>
      </c>
      <c r="H191" s="8">
        <v>34</v>
      </c>
      <c r="I191" s="8" t="s">
        <v>576</v>
      </c>
      <c r="J191" s="8">
        <v>28</v>
      </c>
      <c r="K191" s="4" t="s">
        <v>472</v>
      </c>
      <c r="L191" s="4" t="s">
        <v>583</v>
      </c>
      <c r="M191" s="4" t="s">
        <v>585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6" customHeight="1">
      <c r="A192" s="4" t="s">
        <v>912</v>
      </c>
      <c r="B192" s="4" t="s">
        <v>269</v>
      </c>
      <c r="C192" s="4" t="s">
        <v>913</v>
      </c>
      <c r="D192" s="9">
        <v>0.99960000000000004</v>
      </c>
      <c r="E192" s="8">
        <v>64</v>
      </c>
      <c r="F192" s="8">
        <v>390</v>
      </c>
      <c r="G192" s="8">
        <v>23</v>
      </c>
      <c r="H192" s="8">
        <v>19</v>
      </c>
      <c r="I192" s="8" t="s">
        <v>576</v>
      </c>
      <c r="J192" s="8">
        <v>16</v>
      </c>
      <c r="K192" s="4" t="s">
        <v>483</v>
      </c>
      <c r="L192" s="4" t="s">
        <v>578</v>
      </c>
      <c r="M192" s="4" t="s">
        <v>585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6" customHeight="1">
      <c r="A193" s="4" t="s">
        <v>914</v>
      </c>
      <c r="B193" s="4" t="s">
        <v>269</v>
      </c>
      <c r="C193" s="4" t="s">
        <v>913</v>
      </c>
      <c r="D193" s="9">
        <v>0.99990000000000001</v>
      </c>
      <c r="E193" s="8">
        <v>94</v>
      </c>
      <c r="F193" s="8">
        <v>390</v>
      </c>
      <c r="G193" s="8">
        <v>25</v>
      </c>
      <c r="H193" s="8">
        <v>19</v>
      </c>
      <c r="I193" s="8" t="s">
        <v>576</v>
      </c>
      <c r="J193" s="8">
        <v>16</v>
      </c>
      <c r="K193" s="4" t="s">
        <v>474</v>
      </c>
      <c r="L193" s="4" t="s">
        <v>578</v>
      </c>
      <c r="M193" s="4" t="s">
        <v>585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6" customHeight="1">
      <c r="A194" s="4" t="s">
        <v>915</v>
      </c>
      <c r="B194" s="4" t="s">
        <v>269</v>
      </c>
      <c r="C194" s="4" t="s">
        <v>916</v>
      </c>
      <c r="D194" s="9">
        <v>0.99880000000000002</v>
      </c>
      <c r="E194" s="8">
        <v>303</v>
      </c>
      <c r="F194" s="8">
        <v>391</v>
      </c>
      <c r="G194" s="8">
        <v>339</v>
      </c>
      <c r="H194" s="8">
        <v>31</v>
      </c>
      <c r="I194" s="8" t="s">
        <v>576</v>
      </c>
      <c r="J194" s="8">
        <v>25</v>
      </c>
      <c r="K194" s="4" t="s">
        <v>917</v>
      </c>
      <c r="L194" s="4" t="s">
        <v>583</v>
      </c>
      <c r="M194" s="4" t="s">
        <v>585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6" customHeight="1">
      <c r="A195" s="4" t="s">
        <v>918</v>
      </c>
      <c r="B195" s="4" t="s">
        <v>269</v>
      </c>
      <c r="C195" s="4" t="s">
        <v>919</v>
      </c>
      <c r="D195" s="9">
        <v>0.99970000000000003</v>
      </c>
      <c r="E195" s="8">
        <v>288</v>
      </c>
      <c r="F195" s="8">
        <v>419</v>
      </c>
      <c r="G195" s="8">
        <v>328</v>
      </c>
      <c r="H195" s="8">
        <v>34</v>
      </c>
      <c r="I195" s="8" t="s">
        <v>576</v>
      </c>
      <c r="J195" s="8">
        <v>28</v>
      </c>
      <c r="K195" s="4" t="s">
        <v>514</v>
      </c>
      <c r="L195" s="4" t="s">
        <v>578</v>
      </c>
      <c r="M195" s="4" t="s">
        <v>585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6" customHeight="1">
      <c r="A196" s="4" t="s">
        <v>920</v>
      </c>
      <c r="B196" s="4" t="s">
        <v>269</v>
      </c>
      <c r="C196" s="4" t="s">
        <v>921</v>
      </c>
      <c r="D196" s="9">
        <v>0.95069999999999999</v>
      </c>
      <c r="E196" s="8">
        <v>446</v>
      </c>
      <c r="F196" s="8">
        <v>451</v>
      </c>
      <c r="G196" s="8">
        <v>192</v>
      </c>
      <c r="H196" s="8">
        <v>29</v>
      </c>
      <c r="I196" s="8" t="s">
        <v>576</v>
      </c>
      <c r="J196" s="8">
        <v>24</v>
      </c>
      <c r="K196" s="4" t="s">
        <v>518</v>
      </c>
      <c r="L196" s="4" t="s">
        <v>583</v>
      </c>
      <c r="M196" s="4" t="s">
        <v>585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6" customHeight="1">
      <c r="A197" s="4" t="s">
        <v>922</v>
      </c>
      <c r="B197" s="4" t="s">
        <v>269</v>
      </c>
      <c r="C197" s="4" t="s">
        <v>301</v>
      </c>
      <c r="D197" s="9">
        <v>0.99950000000000006</v>
      </c>
      <c r="E197" s="8">
        <v>493</v>
      </c>
      <c r="F197" s="8">
        <v>451</v>
      </c>
      <c r="G197" s="8">
        <v>145</v>
      </c>
      <c r="H197" s="8">
        <v>28</v>
      </c>
      <c r="I197" s="8" t="s">
        <v>576</v>
      </c>
      <c r="J197" s="8">
        <v>23</v>
      </c>
      <c r="K197" s="4" t="s">
        <v>518</v>
      </c>
      <c r="L197" s="4" t="s">
        <v>578</v>
      </c>
      <c r="M197" s="4" t="s">
        <v>585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6" customHeight="1">
      <c r="A198" s="4" t="s">
        <v>923</v>
      </c>
      <c r="B198" s="4" t="s">
        <v>269</v>
      </c>
      <c r="C198" s="4" t="s">
        <v>307</v>
      </c>
      <c r="D198" s="9">
        <v>0.99990000000000001</v>
      </c>
      <c r="E198" s="8">
        <v>306</v>
      </c>
      <c r="F198" s="8">
        <v>452</v>
      </c>
      <c r="G198" s="8">
        <v>119</v>
      </c>
      <c r="H198" s="8">
        <v>33</v>
      </c>
      <c r="I198" s="8" t="s">
        <v>576</v>
      </c>
      <c r="J198" s="8">
        <v>27</v>
      </c>
      <c r="K198" s="4" t="s">
        <v>474</v>
      </c>
      <c r="L198" s="4" t="s">
        <v>578</v>
      </c>
      <c r="M198" s="4" t="s">
        <v>585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6" customHeight="1">
      <c r="A199" s="4" t="s">
        <v>924</v>
      </c>
      <c r="B199" s="4" t="s">
        <v>269</v>
      </c>
      <c r="C199" s="4" t="s">
        <v>925</v>
      </c>
      <c r="D199" s="9">
        <v>0.96679999999999999</v>
      </c>
      <c r="E199" s="8">
        <v>448</v>
      </c>
      <c r="F199" s="8">
        <v>477</v>
      </c>
      <c r="G199" s="8">
        <v>187</v>
      </c>
      <c r="H199" s="8">
        <v>29</v>
      </c>
      <c r="I199" s="8" t="s">
        <v>576</v>
      </c>
      <c r="J199" s="8">
        <v>24</v>
      </c>
      <c r="K199" s="4" t="s">
        <v>518</v>
      </c>
      <c r="L199" s="4" t="s">
        <v>583</v>
      </c>
      <c r="M199" s="4" t="s">
        <v>585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6" customHeight="1">
      <c r="A200" s="4" t="s">
        <v>926</v>
      </c>
      <c r="B200" s="4" t="s">
        <v>269</v>
      </c>
      <c r="C200" s="4" t="s">
        <v>927</v>
      </c>
      <c r="D200" s="9">
        <v>0.90369999999999995</v>
      </c>
      <c r="E200" s="8">
        <v>493</v>
      </c>
      <c r="F200" s="8">
        <v>477</v>
      </c>
      <c r="G200" s="8">
        <v>145</v>
      </c>
      <c r="H200" s="8">
        <v>28</v>
      </c>
      <c r="I200" s="8" t="s">
        <v>576</v>
      </c>
      <c r="J200" s="8">
        <v>23</v>
      </c>
      <c r="K200" s="4" t="s">
        <v>474</v>
      </c>
      <c r="L200" s="4" t="s">
        <v>578</v>
      </c>
      <c r="M200" s="4" t="s">
        <v>585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6" customHeight="1">
      <c r="A201" s="4" t="s">
        <v>928</v>
      </c>
      <c r="B201" s="4" t="s">
        <v>269</v>
      </c>
      <c r="C201" s="4" t="s">
        <v>913</v>
      </c>
      <c r="D201" s="9">
        <v>0.99990000000000001</v>
      </c>
      <c r="E201" s="8">
        <v>157</v>
      </c>
      <c r="F201" s="8">
        <v>479</v>
      </c>
      <c r="G201" s="8">
        <v>25</v>
      </c>
      <c r="H201" s="8">
        <v>21</v>
      </c>
      <c r="I201" s="8" t="s">
        <v>576</v>
      </c>
      <c r="J201" s="8">
        <v>17</v>
      </c>
      <c r="K201" s="4" t="s">
        <v>474</v>
      </c>
      <c r="L201" s="4" t="s">
        <v>578</v>
      </c>
      <c r="M201" s="4" t="s">
        <v>585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6" customHeight="1">
      <c r="A202" s="4" t="s">
        <v>929</v>
      </c>
      <c r="B202" s="4" t="s">
        <v>269</v>
      </c>
      <c r="C202" s="4" t="s">
        <v>913</v>
      </c>
      <c r="D202" s="9">
        <v>0.99990000000000001</v>
      </c>
      <c r="E202" s="8">
        <v>129</v>
      </c>
      <c r="F202" s="8">
        <v>482</v>
      </c>
      <c r="G202" s="8">
        <v>19</v>
      </c>
      <c r="H202" s="8">
        <v>15</v>
      </c>
      <c r="I202" s="8" t="s">
        <v>576</v>
      </c>
      <c r="J202" s="8">
        <v>12</v>
      </c>
      <c r="K202" s="4" t="s">
        <v>483</v>
      </c>
      <c r="L202" s="4" t="s">
        <v>583</v>
      </c>
      <c r="M202" s="4" t="s">
        <v>585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6" customHeight="1">
      <c r="A203" s="4" t="s">
        <v>930</v>
      </c>
      <c r="B203" s="4" t="s">
        <v>269</v>
      </c>
      <c r="C203" s="4" t="s">
        <v>307</v>
      </c>
      <c r="D203" s="9">
        <v>0.99990000000000001</v>
      </c>
      <c r="E203" s="8">
        <v>307</v>
      </c>
      <c r="F203" s="8">
        <v>485</v>
      </c>
      <c r="G203" s="8">
        <v>117</v>
      </c>
      <c r="H203" s="8">
        <v>31</v>
      </c>
      <c r="I203" s="8" t="s">
        <v>576</v>
      </c>
      <c r="J203" s="8">
        <v>25</v>
      </c>
      <c r="K203" s="4" t="s">
        <v>483</v>
      </c>
      <c r="L203" s="4" t="s">
        <v>578</v>
      </c>
      <c r="M203" s="4" t="s">
        <v>585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6" customHeight="1">
      <c r="A204" s="4" t="s">
        <v>931</v>
      </c>
      <c r="B204" s="4" t="s">
        <v>269</v>
      </c>
      <c r="C204" s="4" t="s">
        <v>268</v>
      </c>
      <c r="D204" s="9">
        <v>0.999</v>
      </c>
      <c r="E204" s="8">
        <v>447</v>
      </c>
      <c r="F204" s="8">
        <v>501</v>
      </c>
      <c r="G204" s="8">
        <v>171</v>
      </c>
      <c r="H204" s="8">
        <v>35</v>
      </c>
      <c r="I204" s="8" t="s">
        <v>576</v>
      </c>
      <c r="J204" s="8">
        <v>29</v>
      </c>
      <c r="K204" s="4" t="s">
        <v>472</v>
      </c>
      <c r="L204" s="4" t="s">
        <v>583</v>
      </c>
      <c r="M204" s="4" t="s">
        <v>585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6" customHeight="1">
      <c r="A205" s="4" t="s">
        <v>932</v>
      </c>
      <c r="B205" s="4" t="s">
        <v>269</v>
      </c>
      <c r="C205" s="4" t="s">
        <v>933</v>
      </c>
      <c r="D205" s="9">
        <v>0.99709999999999999</v>
      </c>
      <c r="E205" s="8">
        <v>305</v>
      </c>
      <c r="F205" s="8">
        <v>515</v>
      </c>
      <c r="G205" s="8">
        <v>113</v>
      </c>
      <c r="H205" s="8">
        <v>36</v>
      </c>
      <c r="I205" s="8" t="s">
        <v>576</v>
      </c>
      <c r="J205" s="8">
        <v>30</v>
      </c>
      <c r="K205" s="4" t="s">
        <v>483</v>
      </c>
      <c r="L205" s="4" t="s">
        <v>578</v>
      </c>
      <c r="M205" s="4" t="s">
        <v>585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6" customHeight="1">
      <c r="A206" s="4" t="s">
        <v>934</v>
      </c>
      <c r="B206" s="4" t="s">
        <v>269</v>
      </c>
      <c r="C206" s="4" t="s">
        <v>292</v>
      </c>
      <c r="D206" s="9">
        <v>0.99770000000000003</v>
      </c>
      <c r="E206" s="8">
        <v>449</v>
      </c>
      <c r="F206" s="8">
        <v>531</v>
      </c>
      <c r="G206" s="8">
        <v>210</v>
      </c>
      <c r="H206" s="8">
        <v>28</v>
      </c>
      <c r="I206" s="8" t="s">
        <v>576</v>
      </c>
      <c r="J206" s="8">
        <v>23</v>
      </c>
      <c r="K206" s="4" t="s">
        <v>935</v>
      </c>
      <c r="L206" s="4" t="s">
        <v>583</v>
      </c>
      <c r="M206" s="4" t="s">
        <v>585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6" customHeight="1">
      <c r="A207" s="4" t="s">
        <v>936</v>
      </c>
      <c r="B207" s="4" t="s">
        <v>269</v>
      </c>
      <c r="C207" s="4" t="s">
        <v>937</v>
      </c>
      <c r="D207" s="9">
        <v>0.97489999999999999</v>
      </c>
      <c r="E207" s="8">
        <v>498</v>
      </c>
      <c r="F207" s="8">
        <v>548</v>
      </c>
      <c r="G207" s="8">
        <v>155</v>
      </c>
      <c r="H207" s="8">
        <v>44</v>
      </c>
      <c r="I207" s="8" t="s">
        <v>576</v>
      </c>
      <c r="J207" s="8">
        <v>36</v>
      </c>
      <c r="K207" s="4" t="s">
        <v>938</v>
      </c>
      <c r="L207" s="4" t="s">
        <v>583</v>
      </c>
      <c r="M207" s="4" t="s">
        <v>585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6" customHeight="1">
      <c r="A208" s="4" t="s">
        <v>939</v>
      </c>
      <c r="B208" s="4" t="s">
        <v>269</v>
      </c>
      <c r="C208" s="4" t="s">
        <v>933</v>
      </c>
      <c r="D208" s="9">
        <v>0.99929999999999997</v>
      </c>
      <c r="E208" s="8">
        <v>307</v>
      </c>
      <c r="F208" s="8">
        <v>551</v>
      </c>
      <c r="G208" s="8">
        <v>109</v>
      </c>
      <c r="H208" s="8">
        <v>33</v>
      </c>
      <c r="I208" s="8" t="s">
        <v>576</v>
      </c>
      <c r="J208" s="8">
        <v>27</v>
      </c>
      <c r="K208" s="4" t="s">
        <v>474</v>
      </c>
      <c r="L208" s="4" t="s">
        <v>583</v>
      </c>
      <c r="M208" s="4" t="s">
        <v>585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6" customHeight="1">
      <c r="A209" s="4" t="s">
        <v>940</v>
      </c>
      <c r="B209" s="4" t="s">
        <v>269</v>
      </c>
      <c r="C209" s="4" t="s">
        <v>890</v>
      </c>
      <c r="D209" s="9">
        <v>0.99509999999999998</v>
      </c>
      <c r="E209" s="8">
        <v>541</v>
      </c>
      <c r="F209" s="8">
        <v>576</v>
      </c>
      <c r="G209" s="8">
        <v>107</v>
      </c>
      <c r="H209" s="8">
        <v>31</v>
      </c>
      <c r="I209" s="8" t="s">
        <v>576</v>
      </c>
      <c r="J209" s="8">
        <v>25</v>
      </c>
      <c r="K209" s="4" t="s">
        <v>941</v>
      </c>
      <c r="L209" s="4" t="s">
        <v>578</v>
      </c>
      <c r="M209" s="4" t="s">
        <v>585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6" customHeight="1">
      <c r="A210" s="4" t="s">
        <v>942</v>
      </c>
      <c r="B210" s="4" t="s">
        <v>269</v>
      </c>
      <c r="C210" s="4" t="s">
        <v>890</v>
      </c>
      <c r="D210" s="9">
        <v>0.99990000000000001</v>
      </c>
      <c r="E210" s="8">
        <v>305</v>
      </c>
      <c r="F210" s="8">
        <v>582</v>
      </c>
      <c r="G210" s="8">
        <v>107</v>
      </c>
      <c r="H210" s="8">
        <v>34</v>
      </c>
      <c r="I210" s="8" t="s">
        <v>576</v>
      </c>
      <c r="J210" s="8">
        <v>28</v>
      </c>
      <c r="K210" s="4" t="s">
        <v>483</v>
      </c>
      <c r="L210" s="4" t="s">
        <v>578</v>
      </c>
      <c r="M210" s="4" t="s">
        <v>585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6" customHeight="1">
      <c r="A211" s="4" t="s">
        <v>943</v>
      </c>
      <c r="B211" s="4" t="s">
        <v>269</v>
      </c>
      <c r="C211" s="4" t="s">
        <v>116</v>
      </c>
      <c r="D211" s="9">
        <v>1</v>
      </c>
      <c r="E211" s="8">
        <v>500</v>
      </c>
      <c r="F211" s="8">
        <v>591</v>
      </c>
      <c r="G211" s="8">
        <v>47</v>
      </c>
      <c r="H211" s="8">
        <v>29</v>
      </c>
      <c r="I211" s="8" t="s">
        <v>576</v>
      </c>
      <c r="J211" s="8">
        <v>24</v>
      </c>
      <c r="K211" s="4" t="s">
        <v>518</v>
      </c>
      <c r="L211" s="4" t="s">
        <v>578</v>
      </c>
      <c r="M211" s="4" t="s">
        <v>585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6" customHeight="1">
      <c r="A212" s="4" t="s">
        <v>944</v>
      </c>
      <c r="B212" s="4" t="s">
        <v>269</v>
      </c>
      <c r="C212" s="4" t="s">
        <v>945</v>
      </c>
      <c r="D212" s="9">
        <v>0.99129999999999996</v>
      </c>
      <c r="E212" s="8">
        <v>543</v>
      </c>
      <c r="F212" s="8">
        <v>603</v>
      </c>
      <c r="G212" s="8">
        <v>107</v>
      </c>
      <c r="H212" s="8">
        <v>25</v>
      </c>
      <c r="I212" s="8" t="s">
        <v>576</v>
      </c>
      <c r="J212" s="8">
        <v>20</v>
      </c>
      <c r="K212" s="4" t="s">
        <v>946</v>
      </c>
      <c r="L212" s="4" t="s">
        <v>583</v>
      </c>
      <c r="M212" s="4" t="s">
        <v>585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6" customHeight="1">
      <c r="A213" s="4" t="s">
        <v>947</v>
      </c>
      <c r="B213" s="4" t="s">
        <v>269</v>
      </c>
      <c r="C213" s="4" t="s">
        <v>122</v>
      </c>
      <c r="D213" s="9">
        <v>0.99960000000000004</v>
      </c>
      <c r="E213" s="8">
        <v>588</v>
      </c>
      <c r="F213" s="8">
        <v>603</v>
      </c>
      <c r="G213" s="8">
        <v>63</v>
      </c>
      <c r="H213" s="8">
        <v>25</v>
      </c>
      <c r="I213" s="8" t="s">
        <v>576</v>
      </c>
      <c r="J213" s="8">
        <v>20</v>
      </c>
      <c r="K213" s="4" t="s">
        <v>948</v>
      </c>
      <c r="L213" s="4" t="s">
        <v>578</v>
      </c>
      <c r="M213" s="4" t="s">
        <v>585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6" customHeight="1">
      <c r="A214" s="4" t="s">
        <v>949</v>
      </c>
      <c r="B214" s="4" t="s">
        <v>269</v>
      </c>
      <c r="C214" s="4" t="s">
        <v>890</v>
      </c>
      <c r="D214" s="9">
        <v>0.99990000000000001</v>
      </c>
      <c r="E214" s="8">
        <v>305</v>
      </c>
      <c r="F214" s="8">
        <v>617</v>
      </c>
      <c r="G214" s="8">
        <v>103</v>
      </c>
      <c r="H214" s="8">
        <v>29</v>
      </c>
      <c r="I214" s="8" t="s">
        <v>576</v>
      </c>
      <c r="J214" s="8">
        <v>24</v>
      </c>
      <c r="K214" s="4" t="s">
        <v>474</v>
      </c>
      <c r="L214" s="4" t="s">
        <v>583</v>
      </c>
      <c r="M214" s="4" t="s">
        <v>585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6" customHeight="1">
      <c r="A215" s="4" t="s">
        <v>950</v>
      </c>
      <c r="B215" s="4" t="s">
        <v>269</v>
      </c>
      <c r="C215" s="4" t="s">
        <v>951</v>
      </c>
      <c r="D215" s="9">
        <v>0.99980000000000002</v>
      </c>
      <c r="E215" s="8">
        <v>501</v>
      </c>
      <c r="F215" s="8">
        <v>624</v>
      </c>
      <c r="G215" s="8">
        <v>145</v>
      </c>
      <c r="H215" s="8">
        <v>26</v>
      </c>
      <c r="I215" s="8" t="s">
        <v>576</v>
      </c>
      <c r="J215" s="8">
        <v>21</v>
      </c>
      <c r="K215" s="4" t="s">
        <v>523</v>
      </c>
      <c r="L215" s="4" t="s">
        <v>578</v>
      </c>
      <c r="M215" s="4" t="s">
        <v>585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6" customHeight="1">
      <c r="A216" s="4" t="s">
        <v>952</v>
      </c>
      <c r="B216" s="4" t="s">
        <v>320</v>
      </c>
      <c r="C216" s="4" t="s">
        <v>324</v>
      </c>
      <c r="D216" s="9">
        <v>0.99939999999999996</v>
      </c>
      <c r="E216" s="8">
        <v>1</v>
      </c>
      <c r="F216" s="8">
        <v>119</v>
      </c>
      <c r="G216" s="8">
        <v>461</v>
      </c>
      <c r="H216" s="8">
        <v>32</v>
      </c>
      <c r="I216" s="8" t="s">
        <v>576</v>
      </c>
      <c r="J216" s="8">
        <v>26</v>
      </c>
      <c r="K216" s="4" t="s">
        <v>468</v>
      </c>
      <c r="L216" s="4" t="s">
        <v>578</v>
      </c>
      <c r="M216" s="4" t="s">
        <v>585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6" customHeight="1">
      <c r="A217" s="4" t="s">
        <v>953</v>
      </c>
      <c r="B217" s="4" t="s">
        <v>320</v>
      </c>
      <c r="C217" s="4" t="s">
        <v>954</v>
      </c>
      <c r="D217" s="9">
        <v>0.98929999999999996</v>
      </c>
      <c r="E217" s="8">
        <v>0</v>
      </c>
      <c r="F217" s="8">
        <v>147</v>
      </c>
      <c r="G217" s="8">
        <v>529</v>
      </c>
      <c r="H217" s="8">
        <v>39</v>
      </c>
      <c r="I217" s="8" t="s">
        <v>576</v>
      </c>
      <c r="J217" s="8">
        <v>32</v>
      </c>
      <c r="K217" s="4" t="s">
        <v>514</v>
      </c>
      <c r="L217" s="4" t="s">
        <v>578</v>
      </c>
      <c r="M217" s="4" t="s">
        <v>585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6" customHeight="1">
      <c r="A218" s="4" t="s">
        <v>955</v>
      </c>
      <c r="B218" s="4" t="s">
        <v>320</v>
      </c>
      <c r="C218" s="4" t="s">
        <v>116</v>
      </c>
      <c r="D218" s="9">
        <v>0.99960000000000004</v>
      </c>
      <c r="E218" s="8">
        <v>480</v>
      </c>
      <c r="F218" s="8">
        <v>157</v>
      </c>
      <c r="G218" s="8">
        <v>45</v>
      </c>
      <c r="H218" s="8">
        <v>26</v>
      </c>
      <c r="I218" s="8" t="s">
        <v>576</v>
      </c>
      <c r="J218" s="8">
        <v>21</v>
      </c>
      <c r="K218" s="4" t="s">
        <v>483</v>
      </c>
      <c r="L218" s="4" t="s">
        <v>583</v>
      </c>
      <c r="M218" s="4" t="s">
        <v>585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6" customHeight="1">
      <c r="A219" s="4" t="s">
        <v>956</v>
      </c>
      <c r="B219" s="4" t="s">
        <v>320</v>
      </c>
      <c r="C219" s="4" t="s">
        <v>957</v>
      </c>
      <c r="D219" s="9">
        <v>0.9849</v>
      </c>
      <c r="E219" s="8">
        <v>0</v>
      </c>
      <c r="F219" s="8">
        <v>179</v>
      </c>
      <c r="G219" s="8">
        <v>503</v>
      </c>
      <c r="H219" s="8">
        <v>37</v>
      </c>
      <c r="I219" s="8" t="s">
        <v>576</v>
      </c>
      <c r="J219" s="8">
        <v>30</v>
      </c>
      <c r="K219" s="4" t="s">
        <v>524</v>
      </c>
      <c r="L219" s="4" t="s">
        <v>578</v>
      </c>
      <c r="M219" s="4" t="s">
        <v>585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6" customHeight="1">
      <c r="A220" s="4" t="s">
        <v>958</v>
      </c>
      <c r="B220" s="4" t="s">
        <v>320</v>
      </c>
      <c r="C220" s="4" t="s">
        <v>959</v>
      </c>
      <c r="D220" s="9">
        <v>0.97819999999999996</v>
      </c>
      <c r="E220" s="8">
        <v>0</v>
      </c>
      <c r="F220" s="8">
        <v>210</v>
      </c>
      <c r="G220" s="8">
        <v>503</v>
      </c>
      <c r="H220" s="8">
        <v>38</v>
      </c>
      <c r="I220" s="8" t="s">
        <v>576</v>
      </c>
      <c r="J220" s="8">
        <v>31</v>
      </c>
      <c r="K220" s="4" t="s">
        <v>472</v>
      </c>
      <c r="L220" s="4" t="s">
        <v>578</v>
      </c>
      <c r="M220" s="4" t="s">
        <v>585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6" customHeight="1">
      <c r="A221" s="4" t="s">
        <v>960</v>
      </c>
      <c r="B221" s="4" t="s">
        <v>320</v>
      </c>
      <c r="C221" s="4" t="s">
        <v>961</v>
      </c>
      <c r="D221" s="9">
        <v>0.9829</v>
      </c>
      <c r="E221" s="8">
        <v>0</v>
      </c>
      <c r="F221" s="8">
        <v>241</v>
      </c>
      <c r="G221" s="8">
        <v>469</v>
      </c>
      <c r="H221" s="8">
        <v>39</v>
      </c>
      <c r="I221" s="8" t="s">
        <v>576</v>
      </c>
      <c r="J221" s="8">
        <v>32</v>
      </c>
      <c r="K221" s="4" t="s">
        <v>472</v>
      </c>
      <c r="L221" s="4" t="s">
        <v>578</v>
      </c>
      <c r="M221" s="4" t="s">
        <v>585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6" customHeight="1">
      <c r="A222" s="4" t="s">
        <v>962</v>
      </c>
      <c r="B222" s="4" t="s">
        <v>320</v>
      </c>
      <c r="C222" s="4" t="s">
        <v>963</v>
      </c>
      <c r="D222" s="9">
        <v>0.95469999999999999</v>
      </c>
      <c r="E222" s="8">
        <v>0</v>
      </c>
      <c r="F222" s="8">
        <v>273</v>
      </c>
      <c r="G222" s="8">
        <v>469</v>
      </c>
      <c r="H222" s="8">
        <v>38</v>
      </c>
      <c r="I222" s="8" t="s">
        <v>576</v>
      </c>
      <c r="J222" s="8">
        <v>31</v>
      </c>
      <c r="K222" s="4" t="s">
        <v>472</v>
      </c>
      <c r="L222" s="4" t="s">
        <v>578</v>
      </c>
      <c r="M222" s="4" t="s">
        <v>585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6" customHeight="1">
      <c r="A223" s="4" t="s">
        <v>964</v>
      </c>
      <c r="B223" s="4" t="s">
        <v>320</v>
      </c>
      <c r="C223" s="4" t="s">
        <v>336</v>
      </c>
      <c r="D223" s="9">
        <v>0.99760000000000004</v>
      </c>
      <c r="E223" s="8">
        <v>3</v>
      </c>
      <c r="F223" s="8">
        <v>307</v>
      </c>
      <c r="G223" s="8">
        <v>297</v>
      </c>
      <c r="H223" s="8">
        <v>33</v>
      </c>
      <c r="I223" s="8" t="s">
        <v>576</v>
      </c>
      <c r="J223" s="8">
        <v>27</v>
      </c>
      <c r="K223" s="4" t="s">
        <v>526</v>
      </c>
      <c r="L223" s="4" t="s">
        <v>578</v>
      </c>
      <c r="M223" s="4" t="s">
        <v>585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6" customHeight="1">
      <c r="A224" s="4" t="s">
        <v>965</v>
      </c>
      <c r="B224" s="4" t="s">
        <v>320</v>
      </c>
      <c r="C224" s="4" t="s">
        <v>250</v>
      </c>
      <c r="D224" s="9">
        <v>0.99990000000000001</v>
      </c>
      <c r="E224" s="8">
        <v>347</v>
      </c>
      <c r="F224" s="8">
        <v>309</v>
      </c>
      <c r="G224" s="8">
        <v>119</v>
      </c>
      <c r="H224" s="8">
        <v>33</v>
      </c>
      <c r="I224" s="8" t="s">
        <v>576</v>
      </c>
      <c r="J224" s="8">
        <v>27</v>
      </c>
      <c r="K224" s="4" t="s">
        <v>483</v>
      </c>
      <c r="L224" s="4" t="s">
        <v>583</v>
      </c>
      <c r="M224" s="4" t="s">
        <v>585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6" customHeight="1">
      <c r="A225" s="4" t="s">
        <v>966</v>
      </c>
      <c r="B225" s="4" t="s">
        <v>320</v>
      </c>
      <c r="C225" s="4" t="s">
        <v>334</v>
      </c>
      <c r="D225" s="9">
        <v>0.99670000000000003</v>
      </c>
      <c r="E225" s="8">
        <v>1</v>
      </c>
      <c r="F225" s="8">
        <v>336</v>
      </c>
      <c r="G225" s="8">
        <v>301</v>
      </c>
      <c r="H225" s="8">
        <v>33</v>
      </c>
      <c r="I225" s="8" t="s">
        <v>576</v>
      </c>
      <c r="J225" s="8">
        <v>27</v>
      </c>
      <c r="K225" s="4" t="s">
        <v>525</v>
      </c>
      <c r="L225" s="4" t="s">
        <v>578</v>
      </c>
      <c r="M225" s="4" t="s">
        <v>585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6" customHeight="1">
      <c r="A226" s="4" t="s">
        <v>967</v>
      </c>
      <c r="B226" s="4" t="s">
        <v>320</v>
      </c>
      <c r="C226" s="4" t="s">
        <v>575</v>
      </c>
      <c r="D226" s="9">
        <v>0.74680000000000002</v>
      </c>
      <c r="E226" s="8">
        <v>287</v>
      </c>
      <c r="F226" s="8">
        <v>339</v>
      </c>
      <c r="G226" s="8">
        <v>41</v>
      </c>
      <c r="H226" s="8">
        <v>29</v>
      </c>
      <c r="I226" s="8" t="s">
        <v>576</v>
      </c>
      <c r="J226" s="8">
        <v>24</v>
      </c>
      <c r="K226" s="4" t="s">
        <v>525</v>
      </c>
      <c r="L226" s="4" t="s">
        <v>578</v>
      </c>
      <c r="M226" s="4" t="s">
        <v>579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6" customHeight="1">
      <c r="A227" s="4" t="s">
        <v>968</v>
      </c>
      <c r="B227" s="4" t="s">
        <v>320</v>
      </c>
      <c r="C227" s="4" t="s">
        <v>250</v>
      </c>
      <c r="D227" s="9">
        <v>0.99970000000000003</v>
      </c>
      <c r="E227" s="8">
        <v>344</v>
      </c>
      <c r="F227" s="8">
        <v>341</v>
      </c>
      <c r="G227" s="8">
        <v>121</v>
      </c>
      <c r="H227" s="8">
        <v>31</v>
      </c>
      <c r="I227" s="8" t="s">
        <v>576</v>
      </c>
      <c r="J227" s="8">
        <v>25</v>
      </c>
      <c r="K227" s="4" t="s">
        <v>474</v>
      </c>
      <c r="L227" s="4" t="s">
        <v>583</v>
      </c>
      <c r="M227" s="4" t="s">
        <v>585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6" customHeight="1">
      <c r="A228" s="4" t="s">
        <v>969</v>
      </c>
      <c r="B228" s="4" t="s">
        <v>320</v>
      </c>
      <c r="C228" s="4" t="s">
        <v>970</v>
      </c>
      <c r="D228" s="9">
        <v>0.9536</v>
      </c>
      <c r="E228" s="8">
        <v>0</v>
      </c>
      <c r="F228" s="8">
        <v>367</v>
      </c>
      <c r="G228" s="8">
        <v>265</v>
      </c>
      <c r="H228" s="8">
        <v>31</v>
      </c>
      <c r="I228" s="8" t="s">
        <v>576</v>
      </c>
      <c r="J228" s="8">
        <v>25</v>
      </c>
      <c r="K228" s="4" t="s">
        <v>468</v>
      </c>
      <c r="L228" s="4" t="s">
        <v>578</v>
      </c>
      <c r="M228" s="4" t="s">
        <v>585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6" customHeight="1">
      <c r="A229" s="4" t="s">
        <v>971</v>
      </c>
      <c r="B229" s="4" t="s">
        <v>320</v>
      </c>
      <c r="C229" s="4" t="s">
        <v>250</v>
      </c>
      <c r="D229" s="9">
        <v>0.99939999999999996</v>
      </c>
      <c r="E229" s="8">
        <v>341</v>
      </c>
      <c r="F229" s="8">
        <v>367</v>
      </c>
      <c r="G229" s="8">
        <v>119</v>
      </c>
      <c r="H229" s="8">
        <v>31</v>
      </c>
      <c r="I229" s="8" t="s">
        <v>576</v>
      </c>
      <c r="J229" s="8">
        <v>25</v>
      </c>
      <c r="K229" s="4" t="s">
        <v>474</v>
      </c>
      <c r="L229" s="4" t="s">
        <v>583</v>
      </c>
      <c r="M229" s="4" t="s">
        <v>585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6" customHeight="1">
      <c r="A230" s="4" t="s">
        <v>972</v>
      </c>
      <c r="B230" s="4" t="s">
        <v>320</v>
      </c>
      <c r="C230" s="4" t="s">
        <v>250</v>
      </c>
      <c r="D230" s="9">
        <v>0.99419999999999997</v>
      </c>
      <c r="E230" s="8">
        <v>341</v>
      </c>
      <c r="F230" s="8">
        <v>394</v>
      </c>
      <c r="G230" s="8">
        <v>118</v>
      </c>
      <c r="H230" s="8">
        <v>31</v>
      </c>
      <c r="I230" s="8" t="s">
        <v>576</v>
      </c>
      <c r="J230" s="8">
        <v>25</v>
      </c>
      <c r="K230" s="4" t="s">
        <v>973</v>
      </c>
      <c r="L230" s="4" t="s">
        <v>578</v>
      </c>
      <c r="M230" s="4" t="s">
        <v>585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6" customHeight="1">
      <c r="A231" s="4" t="s">
        <v>974</v>
      </c>
      <c r="B231" s="4" t="s">
        <v>320</v>
      </c>
      <c r="C231" s="4" t="s">
        <v>241</v>
      </c>
      <c r="D231" s="9">
        <v>0.99890000000000001</v>
      </c>
      <c r="E231" s="8">
        <v>0</v>
      </c>
      <c r="F231" s="8">
        <v>395</v>
      </c>
      <c r="G231" s="8">
        <v>264</v>
      </c>
      <c r="H231" s="8">
        <v>38</v>
      </c>
      <c r="I231" s="8" t="s">
        <v>576</v>
      </c>
      <c r="J231" s="8">
        <v>31</v>
      </c>
      <c r="K231" s="4" t="s">
        <v>472</v>
      </c>
      <c r="L231" s="4" t="s">
        <v>578</v>
      </c>
      <c r="M231" s="4" t="s">
        <v>585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6" customHeight="1">
      <c r="A232" s="4" t="s">
        <v>975</v>
      </c>
      <c r="B232" s="4" t="s">
        <v>320</v>
      </c>
      <c r="C232" s="4" t="s">
        <v>976</v>
      </c>
      <c r="D232" s="9">
        <v>0.83430000000000004</v>
      </c>
      <c r="E232" s="8">
        <v>346</v>
      </c>
      <c r="F232" s="8">
        <v>424</v>
      </c>
      <c r="G232" s="8">
        <v>65</v>
      </c>
      <c r="H232" s="8">
        <v>35</v>
      </c>
      <c r="I232" s="8" t="s">
        <v>576</v>
      </c>
      <c r="J232" s="8">
        <v>29</v>
      </c>
      <c r="K232" s="4" t="s">
        <v>977</v>
      </c>
      <c r="L232" s="4" t="s">
        <v>583</v>
      </c>
      <c r="M232" s="4" t="s">
        <v>579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6" customHeight="1">
      <c r="A233" s="4" t="s">
        <v>978</v>
      </c>
      <c r="B233" s="4" t="s">
        <v>320</v>
      </c>
      <c r="C233" s="4" t="s">
        <v>255</v>
      </c>
      <c r="D233" s="9">
        <v>1</v>
      </c>
      <c r="E233" s="8">
        <v>457</v>
      </c>
      <c r="F233" s="8">
        <v>424</v>
      </c>
      <c r="G233" s="8">
        <v>63</v>
      </c>
      <c r="H233" s="8">
        <v>35</v>
      </c>
      <c r="I233" s="8" t="s">
        <v>576</v>
      </c>
      <c r="J233" s="8">
        <v>29</v>
      </c>
      <c r="K233" s="4" t="s">
        <v>474</v>
      </c>
      <c r="L233" s="4" t="s">
        <v>578</v>
      </c>
      <c r="M233" s="4" t="s">
        <v>585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6" customHeight="1">
      <c r="A234" s="4" t="s">
        <v>979</v>
      </c>
      <c r="B234" s="4" t="s">
        <v>320</v>
      </c>
      <c r="C234" s="4" t="s">
        <v>338</v>
      </c>
      <c r="D234" s="9">
        <v>0.99929999999999997</v>
      </c>
      <c r="E234" s="8">
        <v>0</v>
      </c>
      <c r="F234" s="8">
        <v>431</v>
      </c>
      <c r="G234" s="8">
        <v>261</v>
      </c>
      <c r="H234" s="8">
        <v>31</v>
      </c>
      <c r="I234" s="8" t="s">
        <v>576</v>
      </c>
      <c r="J234" s="8">
        <v>25</v>
      </c>
      <c r="K234" s="4" t="s">
        <v>474</v>
      </c>
      <c r="L234" s="4" t="s">
        <v>578</v>
      </c>
      <c r="M234" s="4" t="s">
        <v>585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6" customHeight="1">
      <c r="A235" s="4" t="s">
        <v>980</v>
      </c>
      <c r="B235" s="4" t="s">
        <v>320</v>
      </c>
      <c r="C235" s="4" t="s">
        <v>255</v>
      </c>
      <c r="D235" s="9">
        <v>1</v>
      </c>
      <c r="E235" s="8">
        <v>346</v>
      </c>
      <c r="F235" s="8">
        <v>458</v>
      </c>
      <c r="G235" s="8">
        <v>63</v>
      </c>
      <c r="H235" s="8">
        <v>33</v>
      </c>
      <c r="I235" s="8" t="s">
        <v>576</v>
      </c>
      <c r="J235" s="8">
        <v>27</v>
      </c>
      <c r="K235" s="4" t="s">
        <v>981</v>
      </c>
      <c r="L235" s="4" t="s">
        <v>578</v>
      </c>
      <c r="M235" s="4" t="s">
        <v>585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6" customHeight="1">
      <c r="A236" s="4" t="s">
        <v>982</v>
      </c>
      <c r="B236" s="4" t="s">
        <v>320</v>
      </c>
      <c r="C236" s="4" t="s">
        <v>340</v>
      </c>
      <c r="D236" s="9">
        <v>0.99970000000000003</v>
      </c>
      <c r="E236" s="8">
        <v>457</v>
      </c>
      <c r="F236" s="8">
        <v>458</v>
      </c>
      <c r="G236" s="8">
        <v>62</v>
      </c>
      <c r="H236" s="8">
        <v>33</v>
      </c>
      <c r="I236" s="8" t="s">
        <v>576</v>
      </c>
      <c r="J236" s="8">
        <v>27</v>
      </c>
      <c r="K236" s="4" t="s">
        <v>474</v>
      </c>
      <c r="L236" s="4" t="s">
        <v>578</v>
      </c>
      <c r="M236" s="4" t="s">
        <v>585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6" customHeight="1">
      <c r="A237" s="4" t="s">
        <v>983</v>
      </c>
      <c r="B237" s="4" t="s">
        <v>320</v>
      </c>
      <c r="C237" s="4" t="s">
        <v>236</v>
      </c>
      <c r="D237" s="9">
        <v>0.99009999999999998</v>
      </c>
      <c r="E237" s="8">
        <v>1</v>
      </c>
      <c r="F237" s="8">
        <v>460</v>
      </c>
      <c r="G237" s="8">
        <v>230</v>
      </c>
      <c r="H237" s="8">
        <v>33</v>
      </c>
      <c r="I237" s="8" t="s">
        <v>576</v>
      </c>
      <c r="J237" s="8">
        <v>27</v>
      </c>
      <c r="K237" s="4" t="s">
        <v>472</v>
      </c>
      <c r="L237" s="4" t="s">
        <v>578</v>
      </c>
      <c r="M237" s="4" t="s">
        <v>585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6" customHeight="1">
      <c r="A238" s="4" t="s">
        <v>984</v>
      </c>
      <c r="B238" s="4" t="s">
        <v>320</v>
      </c>
      <c r="C238" s="4" t="s">
        <v>255</v>
      </c>
      <c r="D238" s="9">
        <v>1</v>
      </c>
      <c r="E238" s="8">
        <v>458</v>
      </c>
      <c r="F238" s="8">
        <v>489</v>
      </c>
      <c r="G238" s="8">
        <v>63</v>
      </c>
      <c r="H238" s="8">
        <v>34</v>
      </c>
      <c r="I238" s="8" t="s">
        <v>576</v>
      </c>
      <c r="J238" s="8">
        <v>28</v>
      </c>
      <c r="K238" s="4" t="s">
        <v>483</v>
      </c>
      <c r="L238" s="4" t="s">
        <v>578</v>
      </c>
      <c r="M238" s="4" t="s">
        <v>585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6" customHeight="1">
      <c r="A239" s="4" t="s">
        <v>985</v>
      </c>
      <c r="B239" s="4" t="s">
        <v>320</v>
      </c>
      <c r="C239" s="4" t="s">
        <v>255</v>
      </c>
      <c r="D239" s="9">
        <v>1</v>
      </c>
      <c r="E239" s="8">
        <v>219</v>
      </c>
      <c r="F239" s="8">
        <v>491</v>
      </c>
      <c r="G239" s="8">
        <v>63</v>
      </c>
      <c r="H239" s="8">
        <v>37</v>
      </c>
      <c r="I239" s="8" t="s">
        <v>576</v>
      </c>
      <c r="J239" s="8">
        <v>30</v>
      </c>
      <c r="K239" s="4" t="s">
        <v>518</v>
      </c>
      <c r="L239" s="4" t="s">
        <v>578</v>
      </c>
      <c r="M239" s="4" t="s">
        <v>585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6" customHeight="1">
      <c r="A240" s="4" t="s">
        <v>986</v>
      </c>
      <c r="B240" s="4" t="s">
        <v>320</v>
      </c>
      <c r="C240" s="4" t="s">
        <v>340</v>
      </c>
      <c r="D240" s="9">
        <v>0.99960000000000004</v>
      </c>
      <c r="E240" s="8">
        <v>347</v>
      </c>
      <c r="F240" s="8">
        <v>491</v>
      </c>
      <c r="G240" s="8">
        <v>62</v>
      </c>
      <c r="H240" s="8">
        <v>34</v>
      </c>
      <c r="I240" s="8" t="s">
        <v>576</v>
      </c>
      <c r="J240" s="8">
        <v>28</v>
      </c>
      <c r="K240" s="4" t="s">
        <v>987</v>
      </c>
      <c r="L240" s="4" t="s">
        <v>578</v>
      </c>
      <c r="M240" s="4" t="s">
        <v>585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6" customHeight="1">
      <c r="A241" s="4" t="s">
        <v>988</v>
      </c>
      <c r="B241" s="4" t="s">
        <v>320</v>
      </c>
      <c r="C241" s="4" t="s">
        <v>250</v>
      </c>
      <c r="D241" s="9">
        <v>0.99960000000000004</v>
      </c>
      <c r="E241" s="8">
        <v>53</v>
      </c>
      <c r="F241" s="8">
        <v>496</v>
      </c>
      <c r="G241" s="8">
        <v>119</v>
      </c>
      <c r="H241" s="8">
        <v>31</v>
      </c>
      <c r="I241" s="8" t="s">
        <v>576</v>
      </c>
      <c r="J241" s="8">
        <v>25</v>
      </c>
      <c r="K241" s="4" t="s">
        <v>981</v>
      </c>
      <c r="L241" s="4" t="s">
        <v>583</v>
      </c>
      <c r="M241" s="4" t="s">
        <v>585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6" customHeight="1">
      <c r="A242" s="4" t="s">
        <v>989</v>
      </c>
      <c r="B242" s="4" t="s">
        <v>320</v>
      </c>
      <c r="C242" s="4" t="s">
        <v>122</v>
      </c>
      <c r="D242" s="9">
        <v>0.99890000000000001</v>
      </c>
      <c r="E242" s="8">
        <v>458</v>
      </c>
      <c r="F242" s="8">
        <v>523</v>
      </c>
      <c r="G242" s="8">
        <v>63</v>
      </c>
      <c r="H242" s="8">
        <v>29</v>
      </c>
      <c r="I242" s="8" t="s">
        <v>576</v>
      </c>
      <c r="J242" s="8">
        <v>24</v>
      </c>
      <c r="K242" s="4" t="s">
        <v>483</v>
      </c>
      <c r="L242" s="4" t="s">
        <v>578</v>
      </c>
      <c r="M242" s="4" t="s">
        <v>585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6" customHeight="1">
      <c r="A243" s="4" t="s">
        <v>990</v>
      </c>
      <c r="B243" s="4" t="s">
        <v>320</v>
      </c>
      <c r="C243" s="4" t="s">
        <v>976</v>
      </c>
      <c r="D243" s="9">
        <v>0.90580000000000005</v>
      </c>
      <c r="E243" s="8">
        <v>346</v>
      </c>
      <c r="F243" s="8">
        <v>524</v>
      </c>
      <c r="G243" s="8">
        <v>63</v>
      </c>
      <c r="H243" s="8">
        <v>33</v>
      </c>
      <c r="I243" s="8" t="s">
        <v>576</v>
      </c>
      <c r="J243" s="8">
        <v>27</v>
      </c>
      <c r="K243" s="4" t="s">
        <v>991</v>
      </c>
      <c r="L243" s="4" t="s">
        <v>578</v>
      </c>
      <c r="M243" s="4" t="s">
        <v>585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6" customHeight="1">
      <c r="A244" s="4" t="s">
        <v>992</v>
      </c>
      <c r="B244" s="4" t="s">
        <v>320</v>
      </c>
      <c r="C244" s="4" t="s">
        <v>122</v>
      </c>
      <c r="D244" s="9">
        <v>0.99990000000000001</v>
      </c>
      <c r="E244" s="8">
        <v>221</v>
      </c>
      <c r="F244" s="8">
        <v>528</v>
      </c>
      <c r="G244" s="8">
        <v>61</v>
      </c>
      <c r="H244" s="8">
        <v>27</v>
      </c>
      <c r="I244" s="8" t="s">
        <v>576</v>
      </c>
      <c r="J244" s="8">
        <v>22</v>
      </c>
      <c r="K244" s="4" t="s">
        <v>474</v>
      </c>
      <c r="L244" s="4" t="s">
        <v>578</v>
      </c>
      <c r="M244" s="4" t="s">
        <v>585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6" customHeight="1">
      <c r="A245" s="4" t="s">
        <v>993</v>
      </c>
      <c r="B245" s="4" t="s">
        <v>320</v>
      </c>
      <c r="C245" s="4" t="s">
        <v>250</v>
      </c>
      <c r="D245" s="9">
        <v>0.99970000000000003</v>
      </c>
      <c r="E245" s="8">
        <v>52</v>
      </c>
      <c r="F245" s="8">
        <v>529</v>
      </c>
      <c r="G245" s="8">
        <v>119</v>
      </c>
      <c r="H245" s="8">
        <v>29</v>
      </c>
      <c r="I245" s="8" t="s">
        <v>576</v>
      </c>
      <c r="J245" s="8">
        <v>24</v>
      </c>
      <c r="K245" s="4" t="s">
        <v>973</v>
      </c>
      <c r="L245" s="4" t="s">
        <v>583</v>
      </c>
      <c r="M245" s="4" t="s">
        <v>585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6" customHeight="1">
      <c r="A246" s="4" t="s">
        <v>994</v>
      </c>
      <c r="B246" s="4" t="s">
        <v>345</v>
      </c>
      <c r="C246" s="4" t="s">
        <v>995</v>
      </c>
      <c r="D246" s="9">
        <v>0.82720000000000005</v>
      </c>
      <c r="E246" s="8">
        <v>383</v>
      </c>
      <c r="F246" s="8">
        <v>458</v>
      </c>
      <c r="G246" s="8">
        <v>10</v>
      </c>
      <c r="H246" s="8">
        <v>40</v>
      </c>
      <c r="I246" s="8" t="s">
        <v>661</v>
      </c>
      <c r="J246" s="8">
        <v>33</v>
      </c>
      <c r="K246" s="4" t="s">
        <v>996</v>
      </c>
      <c r="L246" s="4" t="s">
        <v>578</v>
      </c>
      <c r="M246" s="4" t="s">
        <v>579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6" customHeight="1">
      <c r="A247" s="4" t="s">
        <v>997</v>
      </c>
      <c r="B247" s="4" t="s">
        <v>345</v>
      </c>
      <c r="C247" s="4" t="s">
        <v>998</v>
      </c>
      <c r="D247" s="9">
        <v>0.64059999999999995</v>
      </c>
      <c r="E247" s="8">
        <v>310</v>
      </c>
      <c r="F247" s="8">
        <v>459</v>
      </c>
      <c r="G247" s="8">
        <v>21</v>
      </c>
      <c r="H247" s="8">
        <v>7</v>
      </c>
      <c r="I247" s="8" t="s">
        <v>576</v>
      </c>
      <c r="J247" s="8">
        <v>6</v>
      </c>
      <c r="K247" s="4" t="s">
        <v>999</v>
      </c>
      <c r="L247" s="4" t="s">
        <v>578</v>
      </c>
      <c r="M247" s="4" t="s">
        <v>579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6" customHeight="1">
      <c r="A248" s="4" t="s">
        <v>1000</v>
      </c>
      <c r="B248" s="4" t="s">
        <v>345</v>
      </c>
      <c r="C248" s="4" t="s">
        <v>1001</v>
      </c>
      <c r="D248" s="9">
        <v>0.99039999999999995</v>
      </c>
      <c r="E248" s="8">
        <v>888</v>
      </c>
      <c r="F248" s="8">
        <v>675</v>
      </c>
      <c r="G248" s="8">
        <v>282</v>
      </c>
      <c r="H248" s="8">
        <v>31</v>
      </c>
      <c r="I248" s="8" t="s">
        <v>576</v>
      </c>
      <c r="J248" s="8">
        <v>25</v>
      </c>
      <c r="K248" s="4" t="s">
        <v>527</v>
      </c>
      <c r="L248" s="4" t="s">
        <v>583</v>
      </c>
      <c r="M248" s="4" t="s">
        <v>585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6" customHeight="1">
      <c r="A249" s="4" t="s">
        <v>1002</v>
      </c>
      <c r="B249" s="4" t="s">
        <v>345</v>
      </c>
      <c r="C249" s="4" t="s">
        <v>375</v>
      </c>
      <c r="D249" s="9">
        <v>0.99909999999999999</v>
      </c>
      <c r="E249" s="8">
        <v>1196</v>
      </c>
      <c r="F249" s="8">
        <v>697</v>
      </c>
      <c r="G249" s="8">
        <v>57</v>
      </c>
      <c r="H249" s="8">
        <v>28</v>
      </c>
      <c r="I249" s="8" t="s">
        <v>576</v>
      </c>
      <c r="J249" s="8">
        <v>23</v>
      </c>
      <c r="K249" s="4" t="s">
        <v>468</v>
      </c>
      <c r="L249" s="4" t="s">
        <v>583</v>
      </c>
      <c r="M249" s="4" t="s">
        <v>585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6" customHeight="1">
      <c r="A250" s="4" t="s">
        <v>1003</v>
      </c>
      <c r="B250" s="4" t="s">
        <v>345</v>
      </c>
      <c r="C250" s="4" t="s">
        <v>361</v>
      </c>
      <c r="D250" s="9">
        <v>0.92120000000000002</v>
      </c>
      <c r="E250" s="8">
        <v>886</v>
      </c>
      <c r="F250" s="8">
        <v>701</v>
      </c>
      <c r="G250" s="8">
        <v>180</v>
      </c>
      <c r="H250" s="8">
        <v>33</v>
      </c>
      <c r="I250" s="8" t="s">
        <v>576</v>
      </c>
      <c r="J250" s="8">
        <v>27</v>
      </c>
      <c r="K250" s="4" t="s">
        <v>527</v>
      </c>
      <c r="L250" s="4" t="s">
        <v>583</v>
      </c>
      <c r="M250" s="4" t="s">
        <v>585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6" customHeight="1">
      <c r="A251" s="4" t="s">
        <v>1004</v>
      </c>
      <c r="B251" s="4" t="s">
        <v>345</v>
      </c>
      <c r="C251" s="4" t="s">
        <v>122</v>
      </c>
      <c r="D251" s="9">
        <v>0.99909999999999999</v>
      </c>
      <c r="E251" s="8">
        <v>1138</v>
      </c>
      <c r="F251" s="8">
        <v>707</v>
      </c>
      <c r="G251" s="8">
        <v>58</v>
      </c>
      <c r="H251" s="8">
        <v>30</v>
      </c>
      <c r="I251" s="8" t="s">
        <v>576</v>
      </c>
      <c r="J251" s="8">
        <v>25</v>
      </c>
      <c r="K251" s="4" t="s">
        <v>483</v>
      </c>
      <c r="L251" s="4" t="s">
        <v>583</v>
      </c>
      <c r="M251" s="4" t="s">
        <v>585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6" customHeight="1">
      <c r="A252" s="4" t="s">
        <v>1005</v>
      </c>
      <c r="B252" s="4" t="s">
        <v>345</v>
      </c>
      <c r="C252" s="4" t="s">
        <v>1006</v>
      </c>
      <c r="D252" s="9">
        <v>0.89349999999999996</v>
      </c>
      <c r="E252" s="8">
        <v>1190</v>
      </c>
      <c r="F252" s="8">
        <v>718</v>
      </c>
      <c r="G252" s="8">
        <v>66</v>
      </c>
      <c r="H252" s="8">
        <v>34</v>
      </c>
      <c r="I252" s="8" t="s">
        <v>576</v>
      </c>
      <c r="J252" s="8">
        <v>28</v>
      </c>
      <c r="K252" s="4" t="s">
        <v>1007</v>
      </c>
      <c r="L252" s="4" t="s">
        <v>583</v>
      </c>
      <c r="M252" s="4" t="s">
        <v>579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6" customHeight="1">
      <c r="A253" s="4" t="s">
        <v>1008</v>
      </c>
      <c r="B253" s="4" t="s">
        <v>345</v>
      </c>
      <c r="C253" s="4" t="s">
        <v>1009</v>
      </c>
      <c r="D253" s="9">
        <v>0.83989999999999998</v>
      </c>
      <c r="E253" s="8">
        <v>994</v>
      </c>
      <c r="F253" s="8">
        <v>720</v>
      </c>
      <c r="G253" s="8">
        <v>75</v>
      </c>
      <c r="H253" s="8">
        <v>38</v>
      </c>
      <c r="I253" s="8" t="s">
        <v>576</v>
      </c>
      <c r="J253" s="8">
        <v>31</v>
      </c>
      <c r="K253" s="4" t="s">
        <v>468</v>
      </c>
      <c r="L253" s="4" t="s">
        <v>578</v>
      </c>
      <c r="M253" s="4" t="s">
        <v>579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6" customHeight="1">
      <c r="A254" s="4" t="s">
        <v>1010</v>
      </c>
      <c r="B254" s="4" t="s">
        <v>345</v>
      </c>
      <c r="C254" s="4" t="s">
        <v>1011</v>
      </c>
      <c r="D254" s="9">
        <v>0.9173</v>
      </c>
      <c r="E254" s="8">
        <v>885</v>
      </c>
      <c r="F254" s="8">
        <v>724</v>
      </c>
      <c r="G254" s="8">
        <v>188</v>
      </c>
      <c r="H254" s="8">
        <v>39</v>
      </c>
      <c r="I254" s="8" t="s">
        <v>576</v>
      </c>
      <c r="J254" s="8">
        <v>32</v>
      </c>
      <c r="K254" s="4" t="s">
        <v>530</v>
      </c>
      <c r="L254" s="4" t="s">
        <v>583</v>
      </c>
      <c r="M254" s="4" t="s">
        <v>585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6" customHeight="1">
      <c r="A255" s="4" t="s">
        <v>1012</v>
      </c>
      <c r="B255" s="4" t="s">
        <v>345</v>
      </c>
      <c r="C255" s="4" t="s">
        <v>122</v>
      </c>
      <c r="D255" s="9">
        <v>0.99970000000000003</v>
      </c>
      <c r="E255" s="8">
        <v>1136</v>
      </c>
      <c r="F255" s="8">
        <v>738</v>
      </c>
      <c r="G255" s="8">
        <v>61</v>
      </c>
      <c r="H255" s="8">
        <v>29</v>
      </c>
      <c r="I255" s="8" t="s">
        <v>576</v>
      </c>
      <c r="J255" s="8">
        <v>24</v>
      </c>
      <c r="K255" s="4" t="s">
        <v>518</v>
      </c>
      <c r="L255" s="4" t="s">
        <v>578</v>
      </c>
      <c r="M255" s="4" t="s">
        <v>585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6" customHeight="1">
      <c r="A256" s="4" t="s">
        <v>1013</v>
      </c>
      <c r="B256" s="4" t="s">
        <v>345</v>
      </c>
      <c r="C256" s="4" t="s">
        <v>1014</v>
      </c>
      <c r="D256" s="9">
        <v>0.73850000000000005</v>
      </c>
      <c r="E256" s="8">
        <v>1191</v>
      </c>
      <c r="F256" s="8">
        <v>743</v>
      </c>
      <c r="G256" s="8">
        <v>65</v>
      </c>
      <c r="H256" s="8">
        <v>35</v>
      </c>
      <c r="I256" s="8" t="s">
        <v>576</v>
      </c>
      <c r="J256" s="8">
        <v>29</v>
      </c>
      <c r="K256" s="4" t="s">
        <v>472</v>
      </c>
      <c r="L256" s="4" t="s">
        <v>583</v>
      </c>
      <c r="M256" s="4" t="s">
        <v>579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6" customHeight="1">
      <c r="A257" s="4" t="s">
        <v>1015</v>
      </c>
      <c r="B257" s="4" t="s">
        <v>345</v>
      </c>
      <c r="C257" s="4" t="s">
        <v>354</v>
      </c>
      <c r="D257" s="9">
        <v>0.999</v>
      </c>
      <c r="E257" s="8">
        <v>887</v>
      </c>
      <c r="F257" s="8">
        <v>757</v>
      </c>
      <c r="G257" s="8">
        <v>172</v>
      </c>
      <c r="H257" s="8">
        <v>29</v>
      </c>
      <c r="I257" s="8" t="s">
        <v>576</v>
      </c>
      <c r="J257" s="8">
        <v>24</v>
      </c>
      <c r="K257" s="4" t="s">
        <v>529</v>
      </c>
      <c r="L257" s="4" t="s">
        <v>583</v>
      </c>
      <c r="M257" s="4" t="s">
        <v>585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6" customHeight="1">
      <c r="A258" s="4" t="s">
        <v>1016</v>
      </c>
      <c r="B258" s="4" t="s">
        <v>345</v>
      </c>
      <c r="C258" s="4" t="s">
        <v>350</v>
      </c>
      <c r="D258" s="9">
        <v>0.99909999999999999</v>
      </c>
      <c r="E258" s="8">
        <v>1080</v>
      </c>
      <c r="F258" s="8">
        <v>761</v>
      </c>
      <c r="G258" s="8">
        <v>111</v>
      </c>
      <c r="H258" s="8">
        <v>26</v>
      </c>
      <c r="I258" s="8" t="s">
        <v>576</v>
      </c>
      <c r="J258" s="8">
        <v>21</v>
      </c>
      <c r="K258" s="4" t="s">
        <v>528</v>
      </c>
      <c r="L258" s="4" t="s">
        <v>583</v>
      </c>
      <c r="M258" s="4" t="s">
        <v>585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6" customHeight="1">
      <c r="A259" s="4" t="s">
        <v>1017</v>
      </c>
      <c r="B259" s="4" t="s">
        <v>345</v>
      </c>
      <c r="C259" s="4" t="s">
        <v>369</v>
      </c>
      <c r="D259" s="9">
        <v>0.94920000000000004</v>
      </c>
      <c r="E259" s="8">
        <v>1192</v>
      </c>
      <c r="F259" s="8">
        <v>771</v>
      </c>
      <c r="G259" s="8">
        <v>63</v>
      </c>
      <c r="H259" s="8">
        <v>30</v>
      </c>
      <c r="I259" s="8" t="s">
        <v>576</v>
      </c>
      <c r="J259" s="8">
        <v>25</v>
      </c>
      <c r="K259" s="4" t="s">
        <v>468</v>
      </c>
      <c r="L259" s="4" t="s">
        <v>583</v>
      </c>
      <c r="M259" s="4" t="s">
        <v>585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6" customHeight="1">
      <c r="A260" s="4" t="s">
        <v>1018</v>
      </c>
      <c r="B260" s="4" t="s">
        <v>345</v>
      </c>
      <c r="C260" s="4" t="s">
        <v>1019</v>
      </c>
      <c r="D260" s="9">
        <v>0.95430000000000004</v>
      </c>
      <c r="E260" s="8">
        <v>1136</v>
      </c>
      <c r="F260" s="8">
        <v>808</v>
      </c>
      <c r="G260" s="8">
        <v>65</v>
      </c>
      <c r="H260" s="8">
        <v>40</v>
      </c>
      <c r="I260" s="8" t="s">
        <v>576</v>
      </c>
      <c r="J260" s="8">
        <v>33</v>
      </c>
      <c r="K260" s="4" t="s">
        <v>1020</v>
      </c>
      <c r="L260" s="4" t="s">
        <v>583</v>
      </c>
      <c r="M260" s="4" t="s">
        <v>585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6" customHeight="1">
      <c r="A261" s="4" t="s">
        <v>1021</v>
      </c>
      <c r="B261" s="4" t="s">
        <v>345</v>
      </c>
      <c r="C261" s="4" t="s">
        <v>715</v>
      </c>
      <c r="D261" s="9">
        <v>0.97819999999999996</v>
      </c>
      <c r="E261" s="8">
        <v>1198</v>
      </c>
      <c r="F261" s="8">
        <v>809</v>
      </c>
      <c r="G261" s="8">
        <v>31</v>
      </c>
      <c r="H261" s="8">
        <v>36</v>
      </c>
      <c r="I261" s="8" t="s">
        <v>576</v>
      </c>
      <c r="J261" s="8">
        <v>30</v>
      </c>
      <c r="K261" s="4" t="s">
        <v>468</v>
      </c>
      <c r="L261" s="4" t="s">
        <v>583</v>
      </c>
      <c r="M261" s="4" t="s">
        <v>585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6" customHeight="1">
      <c r="A262" s="4" t="s">
        <v>1022</v>
      </c>
      <c r="B262" s="4" t="s">
        <v>345</v>
      </c>
      <c r="C262" s="4" t="s">
        <v>1023</v>
      </c>
      <c r="D262" s="9">
        <v>0.94410000000000005</v>
      </c>
      <c r="E262" s="8">
        <v>1227</v>
      </c>
      <c r="F262" s="8">
        <v>811</v>
      </c>
      <c r="G262" s="8">
        <v>31</v>
      </c>
      <c r="H262" s="8">
        <v>37</v>
      </c>
      <c r="I262" s="8" t="s">
        <v>576</v>
      </c>
      <c r="J262" s="8">
        <v>30</v>
      </c>
      <c r="K262" s="4" t="s">
        <v>468</v>
      </c>
      <c r="L262" s="4" t="s">
        <v>583</v>
      </c>
      <c r="M262" s="4" t="s">
        <v>585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6" customHeight="1">
      <c r="A263" s="4" t="s">
        <v>1024</v>
      </c>
      <c r="B263" s="4" t="s">
        <v>345</v>
      </c>
      <c r="C263" s="4" t="s">
        <v>1025</v>
      </c>
      <c r="D263" s="9">
        <v>0.48509999999999998</v>
      </c>
      <c r="E263" s="8">
        <v>1162</v>
      </c>
      <c r="F263" s="8">
        <v>836</v>
      </c>
      <c r="G263" s="8">
        <v>38</v>
      </c>
      <c r="H263" s="8">
        <v>114</v>
      </c>
      <c r="I263" s="8" t="s">
        <v>661</v>
      </c>
      <c r="J263" s="8">
        <v>93</v>
      </c>
      <c r="K263" s="4" t="s">
        <v>468</v>
      </c>
      <c r="L263" s="4" t="s">
        <v>583</v>
      </c>
      <c r="M263" s="4" t="s">
        <v>579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6" customHeight="1">
      <c r="A264" s="4" t="s">
        <v>1026</v>
      </c>
      <c r="B264" s="4" t="s">
        <v>345</v>
      </c>
      <c r="C264" s="4" t="s">
        <v>1027</v>
      </c>
      <c r="D264" s="9">
        <v>0.76819999999999999</v>
      </c>
      <c r="E264" s="8">
        <v>1140</v>
      </c>
      <c r="F264" s="8">
        <v>844</v>
      </c>
      <c r="G264" s="8">
        <v>31</v>
      </c>
      <c r="H264" s="8">
        <v>38</v>
      </c>
      <c r="I264" s="8" t="s">
        <v>576</v>
      </c>
      <c r="J264" s="8">
        <v>31</v>
      </c>
      <c r="K264" s="4" t="s">
        <v>468</v>
      </c>
      <c r="L264" s="4" t="s">
        <v>583</v>
      </c>
      <c r="M264" s="4" t="s">
        <v>579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6" customHeight="1">
      <c r="A265" s="4" t="s">
        <v>1028</v>
      </c>
      <c r="B265" s="4" t="s">
        <v>345</v>
      </c>
      <c r="C265" s="4" t="s">
        <v>1029</v>
      </c>
      <c r="D265" s="9">
        <v>0.68269999999999997</v>
      </c>
      <c r="E265" s="8">
        <v>1141</v>
      </c>
      <c r="F265" s="8">
        <v>875</v>
      </c>
      <c r="G265" s="8">
        <v>29</v>
      </c>
      <c r="H265" s="8">
        <v>37</v>
      </c>
      <c r="I265" s="8" t="s">
        <v>576</v>
      </c>
      <c r="J265" s="8">
        <v>30</v>
      </c>
      <c r="K265" s="4" t="s">
        <v>468</v>
      </c>
      <c r="L265" s="4" t="s">
        <v>583</v>
      </c>
      <c r="M265" s="4" t="s">
        <v>579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6" customHeight="1">
      <c r="A266" s="4" t="s">
        <v>1030</v>
      </c>
      <c r="B266" s="4" t="s">
        <v>345</v>
      </c>
      <c r="C266" s="4" t="s">
        <v>122</v>
      </c>
      <c r="D266" s="9">
        <v>0.99939999999999996</v>
      </c>
      <c r="E266" s="8">
        <v>1183</v>
      </c>
      <c r="F266" s="8">
        <v>1115</v>
      </c>
      <c r="G266" s="8">
        <v>62</v>
      </c>
      <c r="H266" s="8">
        <v>29</v>
      </c>
      <c r="I266" s="8" t="s">
        <v>576</v>
      </c>
      <c r="J266" s="8">
        <v>24</v>
      </c>
      <c r="K266" s="4" t="s">
        <v>474</v>
      </c>
      <c r="L266" s="4" t="s">
        <v>578</v>
      </c>
      <c r="M266" s="4" t="s">
        <v>585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6" customHeight="1">
      <c r="A267" s="4" t="s">
        <v>1031</v>
      </c>
      <c r="B267" s="4" t="s">
        <v>345</v>
      </c>
      <c r="C267" s="4" t="s">
        <v>116</v>
      </c>
      <c r="D267" s="9">
        <v>0.99980000000000002</v>
      </c>
      <c r="E267" s="8">
        <v>1191</v>
      </c>
      <c r="F267" s="8">
        <v>1146</v>
      </c>
      <c r="G267" s="8">
        <v>45</v>
      </c>
      <c r="H267" s="8">
        <v>28</v>
      </c>
      <c r="I267" s="8" t="s">
        <v>576</v>
      </c>
      <c r="J267" s="8">
        <v>23</v>
      </c>
      <c r="K267" s="4" t="s">
        <v>483</v>
      </c>
      <c r="L267" s="4" t="s">
        <v>578</v>
      </c>
      <c r="M267" s="4" t="s">
        <v>585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6" customHeight="1">
      <c r="A268" s="4" t="s">
        <v>1032</v>
      </c>
      <c r="B268" s="4" t="s">
        <v>345</v>
      </c>
      <c r="C268" s="4" t="s">
        <v>116</v>
      </c>
      <c r="D268" s="9">
        <v>0.99980000000000002</v>
      </c>
      <c r="E268" s="8">
        <v>1189</v>
      </c>
      <c r="F268" s="8">
        <v>1176</v>
      </c>
      <c r="G268" s="8">
        <v>46</v>
      </c>
      <c r="H268" s="8">
        <v>31</v>
      </c>
      <c r="I268" s="8" t="s">
        <v>576</v>
      </c>
      <c r="J268" s="8">
        <v>25</v>
      </c>
      <c r="K268" s="4" t="s">
        <v>474</v>
      </c>
      <c r="L268" s="4" t="s">
        <v>578</v>
      </c>
      <c r="M268" s="4" t="s">
        <v>585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6" customHeight="1">
      <c r="A269" s="4" t="s">
        <v>1033</v>
      </c>
      <c r="B269" s="4" t="s">
        <v>345</v>
      </c>
      <c r="C269" s="4" t="s">
        <v>116</v>
      </c>
      <c r="D269" s="9">
        <v>0.99990000000000001</v>
      </c>
      <c r="E269" s="8">
        <v>1186</v>
      </c>
      <c r="F269" s="8">
        <v>1202</v>
      </c>
      <c r="G269" s="8">
        <v>40</v>
      </c>
      <c r="H269" s="8">
        <v>24</v>
      </c>
      <c r="I269" s="8" t="s">
        <v>576</v>
      </c>
      <c r="J269" s="8">
        <v>20</v>
      </c>
      <c r="K269" s="4" t="s">
        <v>474</v>
      </c>
      <c r="L269" s="4" t="s">
        <v>583</v>
      </c>
      <c r="M269" s="4" t="s">
        <v>585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6" customHeight="1">
      <c r="A270" s="4" t="s">
        <v>1034</v>
      </c>
      <c r="B270" s="4" t="s">
        <v>345</v>
      </c>
      <c r="C270" s="4" t="s">
        <v>1035</v>
      </c>
      <c r="D270" s="9">
        <v>0.99909999999999999</v>
      </c>
      <c r="E270" s="8">
        <v>1188</v>
      </c>
      <c r="F270" s="8">
        <v>1223</v>
      </c>
      <c r="G270" s="8">
        <v>31</v>
      </c>
      <c r="H270" s="8">
        <v>30</v>
      </c>
      <c r="I270" s="8" t="s">
        <v>576</v>
      </c>
      <c r="J270" s="8">
        <v>25</v>
      </c>
      <c r="K270" s="4" t="s">
        <v>472</v>
      </c>
      <c r="L270" s="4" t="s">
        <v>583</v>
      </c>
      <c r="M270" s="4" t="s">
        <v>585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6" customHeight="1">
      <c r="A271" s="4" t="s">
        <v>1036</v>
      </c>
      <c r="B271" s="4" t="s">
        <v>345</v>
      </c>
      <c r="C271" s="4" t="s">
        <v>1037</v>
      </c>
      <c r="D271" s="9">
        <v>0.94789999999999996</v>
      </c>
      <c r="E271" s="8">
        <v>887</v>
      </c>
      <c r="F271" s="8">
        <v>1240</v>
      </c>
      <c r="G271" s="8">
        <v>108</v>
      </c>
      <c r="H271" s="8">
        <v>36</v>
      </c>
      <c r="I271" s="8" t="s">
        <v>576</v>
      </c>
      <c r="J271" s="8">
        <v>30</v>
      </c>
      <c r="K271" s="4" t="s">
        <v>532</v>
      </c>
      <c r="L271" s="4" t="s">
        <v>583</v>
      </c>
      <c r="M271" s="4" t="s">
        <v>585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6" customHeight="1">
      <c r="A272" s="4" t="s">
        <v>1038</v>
      </c>
      <c r="B272" s="4" t="s">
        <v>345</v>
      </c>
      <c r="C272" s="4" t="s">
        <v>1039</v>
      </c>
      <c r="D272" s="9">
        <v>0.9546</v>
      </c>
      <c r="E272" s="8">
        <v>1010</v>
      </c>
      <c r="F272" s="8">
        <v>1241</v>
      </c>
      <c r="G272" s="8">
        <v>115</v>
      </c>
      <c r="H272" s="8">
        <v>34</v>
      </c>
      <c r="I272" s="8" t="s">
        <v>576</v>
      </c>
      <c r="J272" s="8">
        <v>28</v>
      </c>
      <c r="K272" s="4" t="s">
        <v>531</v>
      </c>
      <c r="L272" s="4" t="s">
        <v>578</v>
      </c>
      <c r="M272" s="4" t="s">
        <v>585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6" customHeight="1">
      <c r="A273" s="4" t="s">
        <v>1040</v>
      </c>
      <c r="B273" s="4" t="s">
        <v>345</v>
      </c>
      <c r="C273" s="4" t="s">
        <v>1041</v>
      </c>
      <c r="D273" s="9">
        <v>0.62229999999999996</v>
      </c>
      <c r="E273" s="8">
        <v>889</v>
      </c>
      <c r="F273" s="8">
        <v>1243</v>
      </c>
      <c r="G273" s="8">
        <v>106</v>
      </c>
      <c r="H273" s="8">
        <v>33</v>
      </c>
      <c r="I273" s="8" t="s">
        <v>576</v>
      </c>
      <c r="J273" s="8">
        <v>27</v>
      </c>
      <c r="K273" s="4" t="s">
        <v>532</v>
      </c>
      <c r="L273" s="4" t="s">
        <v>578</v>
      </c>
      <c r="M273" s="4" t="s">
        <v>579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6" customHeight="1">
      <c r="A274" s="4" t="s">
        <v>1042</v>
      </c>
      <c r="B274" s="4" t="s">
        <v>345</v>
      </c>
      <c r="C274" s="4" t="s">
        <v>1043</v>
      </c>
      <c r="D274" s="9">
        <v>0.71179999999999999</v>
      </c>
      <c r="E274" s="8">
        <v>888</v>
      </c>
      <c r="F274" s="8">
        <v>1269</v>
      </c>
      <c r="G274" s="8">
        <v>50</v>
      </c>
      <c r="H274" s="8">
        <v>26</v>
      </c>
      <c r="I274" s="8" t="s">
        <v>576</v>
      </c>
      <c r="J274" s="8">
        <v>21</v>
      </c>
      <c r="K274" s="4" t="s">
        <v>1044</v>
      </c>
      <c r="L274" s="4" t="s">
        <v>578</v>
      </c>
      <c r="M274" s="4" t="s">
        <v>579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6" customHeight="1">
      <c r="A275" s="4" t="s">
        <v>1045</v>
      </c>
      <c r="B275" s="4" t="s">
        <v>345</v>
      </c>
      <c r="C275" s="4" t="s">
        <v>1046</v>
      </c>
      <c r="D275" s="9">
        <v>0.99960000000000004</v>
      </c>
      <c r="E275" s="8">
        <v>1161</v>
      </c>
      <c r="F275" s="8">
        <v>1271</v>
      </c>
      <c r="G275" s="8">
        <v>41</v>
      </c>
      <c r="H275" s="8">
        <v>19</v>
      </c>
      <c r="I275" s="8" t="s">
        <v>576</v>
      </c>
      <c r="J275" s="8">
        <v>16</v>
      </c>
      <c r="K275" s="4" t="s">
        <v>468</v>
      </c>
      <c r="L275" s="4" t="s">
        <v>583</v>
      </c>
      <c r="M275" s="4" t="s">
        <v>585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6" customHeight="1">
      <c r="A276" s="4" t="s">
        <v>1047</v>
      </c>
      <c r="B276" s="4" t="s">
        <v>378</v>
      </c>
      <c r="C276" s="4" t="s">
        <v>1048</v>
      </c>
      <c r="D276" s="9">
        <v>0.93079999999999996</v>
      </c>
      <c r="E276" s="8">
        <v>15</v>
      </c>
      <c r="F276" s="8">
        <v>1</v>
      </c>
      <c r="G276" s="8">
        <v>387</v>
      </c>
      <c r="H276" s="8">
        <v>29</v>
      </c>
      <c r="I276" s="8" t="s">
        <v>576</v>
      </c>
      <c r="J276" s="8">
        <v>24</v>
      </c>
      <c r="K276" s="4" t="s">
        <v>468</v>
      </c>
      <c r="L276" s="4" t="s">
        <v>578</v>
      </c>
      <c r="M276" s="4" t="s">
        <v>585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6" customHeight="1">
      <c r="A277" s="4" t="s">
        <v>1049</v>
      </c>
      <c r="B277" s="4" t="s">
        <v>378</v>
      </c>
      <c r="C277" s="4" t="s">
        <v>1050</v>
      </c>
      <c r="D277" s="9">
        <v>0.93310000000000004</v>
      </c>
      <c r="E277" s="8">
        <v>0</v>
      </c>
      <c r="F277" s="8">
        <v>59</v>
      </c>
      <c r="G277" s="8">
        <v>321</v>
      </c>
      <c r="H277" s="8">
        <v>35</v>
      </c>
      <c r="I277" s="8" t="s">
        <v>576</v>
      </c>
      <c r="J277" s="8">
        <v>29</v>
      </c>
      <c r="K277" s="4" t="s">
        <v>468</v>
      </c>
      <c r="L277" s="4" t="s">
        <v>578</v>
      </c>
      <c r="M277" s="4" t="s">
        <v>585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6" customHeight="1">
      <c r="A278" s="4" t="s">
        <v>1051</v>
      </c>
      <c r="B278" s="4" t="s">
        <v>378</v>
      </c>
      <c r="C278" s="4" t="s">
        <v>1052</v>
      </c>
      <c r="D278" s="9">
        <v>0.99270000000000003</v>
      </c>
      <c r="E278" s="8">
        <v>326</v>
      </c>
      <c r="F278" s="8">
        <v>75</v>
      </c>
      <c r="G278" s="8">
        <v>25</v>
      </c>
      <c r="H278" s="8">
        <v>20</v>
      </c>
      <c r="I278" s="8" t="s">
        <v>576</v>
      </c>
      <c r="J278" s="8">
        <v>16</v>
      </c>
      <c r="K278" s="4" t="s">
        <v>474</v>
      </c>
      <c r="L278" s="4" t="s">
        <v>578</v>
      </c>
      <c r="M278" s="4" t="s">
        <v>585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6" customHeight="1">
      <c r="A279" s="4" t="s">
        <v>1053</v>
      </c>
      <c r="B279" s="4" t="s">
        <v>378</v>
      </c>
      <c r="C279" s="4" t="s">
        <v>1052</v>
      </c>
      <c r="D279" s="9">
        <v>0.99939999999999996</v>
      </c>
      <c r="E279" s="8">
        <v>357</v>
      </c>
      <c r="F279" s="8">
        <v>75</v>
      </c>
      <c r="G279" s="8">
        <v>26</v>
      </c>
      <c r="H279" s="8">
        <v>19</v>
      </c>
      <c r="I279" s="8" t="s">
        <v>576</v>
      </c>
      <c r="J279" s="8">
        <v>16</v>
      </c>
      <c r="K279" s="4" t="s">
        <v>483</v>
      </c>
      <c r="L279" s="4" t="s">
        <v>578</v>
      </c>
      <c r="M279" s="4" t="s">
        <v>585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6" customHeight="1">
      <c r="A280" s="4" t="s">
        <v>1054</v>
      </c>
      <c r="B280" s="4" t="s">
        <v>378</v>
      </c>
      <c r="C280" s="4" t="s">
        <v>1052</v>
      </c>
      <c r="D280" s="9">
        <v>0.86060000000000003</v>
      </c>
      <c r="E280" s="8">
        <v>379</v>
      </c>
      <c r="F280" s="8">
        <v>77</v>
      </c>
      <c r="G280" s="8">
        <v>21</v>
      </c>
      <c r="H280" s="8">
        <v>17</v>
      </c>
      <c r="I280" s="8" t="s">
        <v>576</v>
      </c>
      <c r="J280" s="8">
        <v>14</v>
      </c>
      <c r="K280" s="4" t="s">
        <v>832</v>
      </c>
      <c r="L280" s="4" t="s">
        <v>578</v>
      </c>
      <c r="M280" s="4" t="s">
        <v>579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6" customHeight="1">
      <c r="A281" s="4" t="s">
        <v>1055</v>
      </c>
      <c r="B281" s="4" t="s">
        <v>378</v>
      </c>
      <c r="C281" s="4" t="s">
        <v>162</v>
      </c>
      <c r="D281" s="9">
        <v>0.97119999999999995</v>
      </c>
      <c r="E281" s="8">
        <v>0</v>
      </c>
      <c r="F281" s="8">
        <v>87</v>
      </c>
      <c r="G281" s="8">
        <v>231</v>
      </c>
      <c r="H281" s="8">
        <v>39</v>
      </c>
      <c r="I281" s="8" t="s">
        <v>576</v>
      </c>
      <c r="J281" s="8">
        <v>32</v>
      </c>
      <c r="K281" s="4" t="s">
        <v>468</v>
      </c>
      <c r="L281" s="4" t="s">
        <v>578</v>
      </c>
      <c r="M281" s="4" t="s">
        <v>585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6" customHeight="1">
      <c r="A282" s="4" t="s">
        <v>1056</v>
      </c>
      <c r="B282" s="4" t="s">
        <v>378</v>
      </c>
      <c r="C282" s="4" t="s">
        <v>1057</v>
      </c>
      <c r="D282" s="9">
        <v>0.77659999999999996</v>
      </c>
      <c r="E282" s="8">
        <v>219</v>
      </c>
      <c r="F282" s="8">
        <v>87</v>
      </c>
      <c r="G282" s="8">
        <v>107</v>
      </c>
      <c r="H282" s="8">
        <v>43</v>
      </c>
      <c r="I282" s="8" t="s">
        <v>576</v>
      </c>
      <c r="J282" s="8">
        <v>35</v>
      </c>
      <c r="K282" s="4" t="s">
        <v>468</v>
      </c>
      <c r="L282" s="4" t="s">
        <v>583</v>
      </c>
      <c r="M282" s="4" t="s">
        <v>579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6" customHeight="1">
      <c r="A283" s="4" t="s">
        <v>1058</v>
      </c>
      <c r="B283" s="4" t="s">
        <v>378</v>
      </c>
      <c r="C283" s="4" t="s">
        <v>1059</v>
      </c>
      <c r="D283" s="9">
        <v>0.89700000000000002</v>
      </c>
      <c r="E283" s="8">
        <v>218</v>
      </c>
      <c r="F283" s="8">
        <v>91</v>
      </c>
      <c r="G283" s="8">
        <v>102</v>
      </c>
      <c r="H283" s="8">
        <v>32</v>
      </c>
      <c r="I283" s="8" t="s">
        <v>576</v>
      </c>
      <c r="J283" s="8">
        <v>26</v>
      </c>
      <c r="K283" s="4" t="s">
        <v>468</v>
      </c>
      <c r="L283" s="4" t="s">
        <v>578</v>
      </c>
      <c r="M283" s="4" t="s">
        <v>579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6" customHeight="1">
      <c r="A284" s="4" t="s">
        <v>1060</v>
      </c>
      <c r="B284" s="4" t="s">
        <v>378</v>
      </c>
      <c r="C284" s="4" t="s">
        <v>838</v>
      </c>
      <c r="D284" s="9">
        <v>0.92030000000000001</v>
      </c>
      <c r="E284" s="8">
        <v>327</v>
      </c>
      <c r="F284" s="8">
        <v>95</v>
      </c>
      <c r="G284" s="8">
        <v>24</v>
      </c>
      <c r="H284" s="8">
        <v>21</v>
      </c>
      <c r="I284" s="8" t="s">
        <v>576</v>
      </c>
      <c r="J284" s="8">
        <v>17</v>
      </c>
      <c r="K284" s="4" t="s">
        <v>474</v>
      </c>
      <c r="L284" s="4" t="s">
        <v>578</v>
      </c>
      <c r="M284" s="4" t="s">
        <v>585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6" customHeight="1">
      <c r="A285" s="4" t="s">
        <v>1061</v>
      </c>
      <c r="B285" s="4" t="s">
        <v>378</v>
      </c>
      <c r="C285" s="4" t="s">
        <v>1062</v>
      </c>
      <c r="D285" s="9">
        <v>0.50339999999999996</v>
      </c>
      <c r="E285" s="8">
        <v>357</v>
      </c>
      <c r="F285" s="8">
        <v>95</v>
      </c>
      <c r="G285" s="8">
        <v>27</v>
      </c>
      <c r="H285" s="8">
        <v>23</v>
      </c>
      <c r="I285" s="8" t="s">
        <v>576</v>
      </c>
      <c r="J285" s="8">
        <v>19</v>
      </c>
      <c r="K285" s="4" t="s">
        <v>825</v>
      </c>
      <c r="L285" s="4" t="s">
        <v>583</v>
      </c>
      <c r="M285" s="4" t="s">
        <v>579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6" customHeight="1">
      <c r="A286" s="4" t="s">
        <v>1063</v>
      </c>
      <c r="B286" s="4" t="s">
        <v>378</v>
      </c>
      <c r="C286" s="4" t="s">
        <v>838</v>
      </c>
      <c r="D286" s="9">
        <v>0.87480000000000002</v>
      </c>
      <c r="E286" s="8">
        <v>357</v>
      </c>
      <c r="F286" s="8">
        <v>96</v>
      </c>
      <c r="G286" s="8">
        <v>25</v>
      </c>
      <c r="H286" s="8">
        <v>21</v>
      </c>
      <c r="I286" s="8" t="s">
        <v>576</v>
      </c>
      <c r="J286" s="8">
        <v>17</v>
      </c>
      <c r="K286" s="4" t="s">
        <v>483</v>
      </c>
      <c r="L286" s="4" t="s">
        <v>578</v>
      </c>
      <c r="M286" s="4" t="s">
        <v>579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6" customHeight="1">
      <c r="A287" s="4" t="s">
        <v>1064</v>
      </c>
      <c r="B287" s="4" t="s">
        <v>378</v>
      </c>
      <c r="C287" s="4" t="s">
        <v>838</v>
      </c>
      <c r="D287" s="9">
        <v>0.9214</v>
      </c>
      <c r="E287" s="8">
        <v>377</v>
      </c>
      <c r="F287" s="8">
        <v>96</v>
      </c>
      <c r="G287" s="8">
        <v>24</v>
      </c>
      <c r="H287" s="8">
        <v>21</v>
      </c>
      <c r="I287" s="8" t="s">
        <v>576</v>
      </c>
      <c r="J287" s="8">
        <v>17</v>
      </c>
      <c r="K287" s="4" t="s">
        <v>832</v>
      </c>
      <c r="L287" s="4" t="s">
        <v>578</v>
      </c>
      <c r="M287" s="4" t="s">
        <v>585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6" customHeight="1">
      <c r="A288" s="4" t="s">
        <v>1065</v>
      </c>
      <c r="B288" s="4" t="s">
        <v>378</v>
      </c>
      <c r="C288" s="4" t="s">
        <v>1066</v>
      </c>
      <c r="D288" s="9">
        <v>0.97960000000000003</v>
      </c>
      <c r="E288" s="8">
        <v>0</v>
      </c>
      <c r="F288" s="8">
        <v>117</v>
      </c>
      <c r="G288" s="8">
        <v>29</v>
      </c>
      <c r="H288" s="8">
        <v>68</v>
      </c>
      <c r="I288" s="8" t="s">
        <v>661</v>
      </c>
      <c r="J288" s="8">
        <v>56</v>
      </c>
      <c r="K288" s="4" t="s">
        <v>468</v>
      </c>
      <c r="L288" s="4" t="s">
        <v>583</v>
      </c>
      <c r="M288" s="4" t="s">
        <v>585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6" customHeight="1">
      <c r="A289" s="4" t="s">
        <v>1067</v>
      </c>
      <c r="B289" s="4" t="s">
        <v>378</v>
      </c>
      <c r="C289" s="4" t="s">
        <v>234</v>
      </c>
      <c r="D289" s="9">
        <v>0.97060000000000002</v>
      </c>
      <c r="E289" s="8">
        <v>1</v>
      </c>
      <c r="F289" s="8">
        <v>121</v>
      </c>
      <c r="G289" s="8">
        <v>226</v>
      </c>
      <c r="H289" s="8">
        <v>35</v>
      </c>
      <c r="I289" s="8" t="s">
        <v>576</v>
      </c>
      <c r="J289" s="8">
        <v>29</v>
      </c>
      <c r="K289" s="4" t="s">
        <v>468</v>
      </c>
      <c r="L289" s="4" t="s">
        <v>578</v>
      </c>
      <c r="M289" s="4" t="s">
        <v>585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6" customHeight="1">
      <c r="A290" s="4" t="s">
        <v>1068</v>
      </c>
      <c r="B290" s="4" t="s">
        <v>378</v>
      </c>
      <c r="C290" s="4" t="s">
        <v>1069</v>
      </c>
      <c r="D290" s="9">
        <v>0.89329999999999998</v>
      </c>
      <c r="E290" s="8">
        <v>229</v>
      </c>
      <c r="F290" s="8">
        <v>125</v>
      </c>
      <c r="G290" s="8">
        <v>65</v>
      </c>
      <c r="H290" s="8">
        <v>33</v>
      </c>
      <c r="I290" s="8" t="s">
        <v>576</v>
      </c>
      <c r="J290" s="8">
        <v>27</v>
      </c>
      <c r="K290" s="4" t="s">
        <v>468</v>
      </c>
      <c r="L290" s="4" t="s">
        <v>583</v>
      </c>
      <c r="M290" s="4" t="s">
        <v>579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6" customHeight="1">
      <c r="A291" s="4" t="s">
        <v>1070</v>
      </c>
      <c r="B291" s="4" t="s">
        <v>378</v>
      </c>
      <c r="C291" s="4" t="s">
        <v>1071</v>
      </c>
      <c r="D291" s="9">
        <v>0.69199999999999995</v>
      </c>
      <c r="E291" s="8">
        <v>231</v>
      </c>
      <c r="F291" s="8">
        <v>128</v>
      </c>
      <c r="G291" s="8">
        <v>56</v>
      </c>
      <c r="H291" s="8">
        <v>28</v>
      </c>
      <c r="I291" s="8" t="s">
        <v>576</v>
      </c>
      <c r="J291" s="8">
        <v>23</v>
      </c>
      <c r="K291" s="4" t="s">
        <v>468</v>
      </c>
      <c r="L291" s="4" t="s">
        <v>578</v>
      </c>
      <c r="M291" s="4" t="s">
        <v>579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6" customHeight="1">
      <c r="A292" s="4" t="s">
        <v>1072</v>
      </c>
      <c r="B292" s="4" t="s">
        <v>378</v>
      </c>
      <c r="C292" s="4" t="s">
        <v>1073</v>
      </c>
      <c r="D292" s="9">
        <v>0.94469999999999998</v>
      </c>
      <c r="E292" s="8">
        <v>0</v>
      </c>
      <c r="F292" s="8">
        <v>143</v>
      </c>
      <c r="G292" s="8">
        <v>229</v>
      </c>
      <c r="H292" s="8">
        <v>43</v>
      </c>
      <c r="I292" s="8" t="s">
        <v>576</v>
      </c>
      <c r="J292" s="8">
        <v>35</v>
      </c>
      <c r="K292" s="4" t="s">
        <v>468</v>
      </c>
      <c r="L292" s="4" t="s">
        <v>578</v>
      </c>
      <c r="M292" s="4" t="s">
        <v>585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6" customHeight="1">
      <c r="A293" s="4" t="s">
        <v>1074</v>
      </c>
      <c r="B293" s="4" t="s">
        <v>378</v>
      </c>
      <c r="C293" s="4" t="s">
        <v>683</v>
      </c>
      <c r="D293" s="9">
        <v>0.99719999999999998</v>
      </c>
      <c r="E293" s="8">
        <v>197</v>
      </c>
      <c r="F293" s="8">
        <v>147</v>
      </c>
      <c r="G293" s="8">
        <v>29</v>
      </c>
      <c r="H293" s="8">
        <v>33</v>
      </c>
      <c r="I293" s="8" t="s">
        <v>576</v>
      </c>
      <c r="J293" s="8">
        <v>27</v>
      </c>
      <c r="K293" s="4" t="s">
        <v>468</v>
      </c>
      <c r="L293" s="4" t="s">
        <v>583</v>
      </c>
      <c r="M293" s="4" t="s">
        <v>585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6" customHeight="1">
      <c r="A294" s="4" t="s">
        <v>1075</v>
      </c>
      <c r="B294" s="4" t="s">
        <v>378</v>
      </c>
      <c r="C294" s="4" t="s">
        <v>1076</v>
      </c>
      <c r="D294" s="9">
        <v>0.93410000000000004</v>
      </c>
      <c r="E294" s="8">
        <v>158</v>
      </c>
      <c r="F294" s="8">
        <v>150</v>
      </c>
      <c r="G294" s="8">
        <v>37</v>
      </c>
      <c r="H294" s="8">
        <v>31</v>
      </c>
      <c r="I294" s="8" t="s">
        <v>576</v>
      </c>
      <c r="J294" s="8">
        <v>25</v>
      </c>
      <c r="K294" s="4" t="s">
        <v>468</v>
      </c>
      <c r="L294" s="4" t="s">
        <v>583</v>
      </c>
      <c r="M294" s="4" t="s">
        <v>585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6" customHeight="1">
      <c r="A295" s="4" t="s">
        <v>1077</v>
      </c>
      <c r="B295" s="4" t="s">
        <v>378</v>
      </c>
      <c r="C295" s="4" t="s">
        <v>1078</v>
      </c>
      <c r="D295" s="9">
        <v>0.99970000000000003</v>
      </c>
      <c r="E295" s="8">
        <v>27</v>
      </c>
      <c r="F295" s="8">
        <v>175</v>
      </c>
      <c r="G295" s="8">
        <v>202</v>
      </c>
      <c r="H295" s="8">
        <v>38</v>
      </c>
      <c r="I295" s="8" t="s">
        <v>576</v>
      </c>
      <c r="J295" s="8">
        <v>31</v>
      </c>
      <c r="K295" s="4" t="s">
        <v>468</v>
      </c>
      <c r="L295" s="4" t="s">
        <v>583</v>
      </c>
      <c r="M295" s="4" t="s">
        <v>585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6" customHeight="1">
      <c r="A296" s="4" t="s">
        <v>1079</v>
      </c>
      <c r="B296" s="4" t="s">
        <v>378</v>
      </c>
      <c r="C296" s="4" t="s">
        <v>230</v>
      </c>
      <c r="D296" s="9">
        <v>0.997</v>
      </c>
      <c r="E296" s="8">
        <v>1</v>
      </c>
      <c r="F296" s="8">
        <v>177</v>
      </c>
      <c r="G296" s="8">
        <v>226</v>
      </c>
      <c r="H296" s="8">
        <v>33</v>
      </c>
      <c r="I296" s="8" t="s">
        <v>576</v>
      </c>
      <c r="J296" s="8">
        <v>27</v>
      </c>
      <c r="K296" s="4" t="s">
        <v>468</v>
      </c>
      <c r="L296" s="4" t="s">
        <v>578</v>
      </c>
      <c r="M296" s="4" t="s">
        <v>585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6" customHeight="1">
      <c r="A297" s="4" t="s">
        <v>1080</v>
      </c>
      <c r="B297" s="4" t="s">
        <v>378</v>
      </c>
      <c r="C297" s="4" t="s">
        <v>116</v>
      </c>
      <c r="D297" s="9">
        <v>1</v>
      </c>
      <c r="E297" s="8">
        <v>370</v>
      </c>
      <c r="F297" s="8">
        <v>177</v>
      </c>
      <c r="G297" s="8">
        <v>48</v>
      </c>
      <c r="H297" s="8">
        <v>31</v>
      </c>
      <c r="I297" s="8" t="s">
        <v>576</v>
      </c>
      <c r="J297" s="8">
        <v>25</v>
      </c>
      <c r="K297" s="4" t="s">
        <v>474</v>
      </c>
      <c r="L297" s="4" t="s">
        <v>578</v>
      </c>
      <c r="M297" s="4" t="s">
        <v>585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6" customHeight="1">
      <c r="A298" s="4" t="s">
        <v>1081</v>
      </c>
      <c r="B298" s="4" t="s">
        <v>378</v>
      </c>
      <c r="C298" s="4" t="s">
        <v>1076</v>
      </c>
      <c r="D298" s="9">
        <v>0.90359999999999996</v>
      </c>
      <c r="E298" s="8">
        <v>225</v>
      </c>
      <c r="F298" s="8">
        <v>190</v>
      </c>
      <c r="G298" s="8">
        <v>35</v>
      </c>
      <c r="H298" s="8">
        <v>65</v>
      </c>
      <c r="I298" s="8" t="s">
        <v>661</v>
      </c>
      <c r="J298" s="8">
        <v>53</v>
      </c>
      <c r="K298" s="4" t="s">
        <v>468</v>
      </c>
      <c r="L298" s="4" t="s">
        <v>583</v>
      </c>
      <c r="M298" s="4" t="s">
        <v>585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6" customHeight="1">
      <c r="A299" s="4" t="s">
        <v>1082</v>
      </c>
      <c r="B299" s="4" t="s">
        <v>378</v>
      </c>
      <c r="C299" s="4" t="s">
        <v>1083</v>
      </c>
      <c r="D299" s="9">
        <v>0.75170000000000003</v>
      </c>
      <c r="E299" s="8">
        <v>230</v>
      </c>
      <c r="F299" s="8">
        <v>190</v>
      </c>
      <c r="G299" s="8">
        <v>71</v>
      </c>
      <c r="H299" s="8">
        <v>33</v>
      </c>
      <c r="I299" s="8" t="s">
        <v>576</v>
      </c>
      <c r="J299" s="8">
        <v>27</v>
      </c>
      <c r="K299" s="4" t="s">
        <v>468</v>
      </c>
      <c r="L299" s="4" t="s">
        <v>578</v>
      </c>
      <c r="M299" s="4" t="s">
        <v>579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6" customHeight="1">
      <c r="A300" s="4" t="s">
        <v>1084</v>
      </c>
      <c r="B300" s="4" t="s">
        <v>378</v>
      </c>
      <c r="C300" s="4" t="s">
        <v>575</v>
      </c>
      <c r="D300" s="9">
        <v>0.80589999999999995</v>
      </c>
      <c r="E300" s="8">
        <v>320</v>
      </c>
      <c r="F300" s="8">
        <v>203</v>
      </c>
      <c r="G300" s="8">
        <v>33</v>
      </c>
      <c r="H300" s="8">
        <v>29</v>
      </c>
      <c r="I300" s="8" t="s">
        <v>576</v>
      </c>
      <c r="J300" s="8">
        <v>24</v>
      </c>
      <c r="K300" s="4" t="s">
        <v>1085</v>
      </c>
      <c r="L300" s="4" t="s">
        <v>578</v>
      </c>
      <c r="M300" s="4" t="s">
        <v>579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6" customHeight="1">
      <c r="A301" s="4" t="s">
        <v>1086</v>
      </c>
      <c r="B301" s="4" t="s">
        <v>378</v>
      </c>
      <c r="C301" s="4" t="s">
        <v>1087</v>
      </c>
      <c r="D301" s="9">
        <v>0.96950000000000003</v>
      </c>
      <c r="E301" s="8">
        <v>1</v>
      </c>
      <c r="F301" s="8">
        <v>207</v>
      </c>
      <c r="G301" s="8">
        <v>213</v>
      </c>
      <c r="H301" s="8">
        <v>33</v>
      </c>
      <c r="I301" s="8" t="s">
        <v>576</v>
      </c>
      <c r="J301" s="8">
        <v>27</v>
      </c>
      <c r="K301" s="4" t="s">
        <v>468</v>
      </c>
      <c r="L301" s="4" t="s">
        <v>578</v>
      </c>
      <c r="M301" s="4" t="s">
        <v>585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6" customHeight="1">
      <c r="A302" s="4" t="s">
        <v>1088</v>
      </c>
      <c r="B302" s="4" t="s">
        <v>378</v>
      </c>
      <c r="C302" s="4" t="s">
        <v>116</v>
      </c>
      <c r="D302" s="9">
        <v>0.99990000000000001</v>
      </c>
      <c r="E302" s="8">
        <v>371</v>
      </c>
      <c r="F302" s="8">
        <v>208</v>
      </c>
      <c r="G302" s="8">
        <v>47</v>
      </c>
      <c r="H302" s="8">
        <v>28</v>
      </c>
      <c r="I302" s="8" t="s">
        <v>576</v>
      </c>
      <c r="J302" s="8">
        <v>23</v>
      </c>
      <c r="K302" s="4" t="s">
        <v>483</v>
      </c>
      <c r="L302" s="4" t="s">
        <v>578</v>
      </c>
      <c r="M302" s="4" t="s">
        <v>585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6" customHeight="1">
      <c r="A303" s="4" t="s">
        <v>1089</v>
      </c>
      <c r="B303" s="4" t="s">
        <v>388</v>
      </c>
      <c r="C303" s="4" t="s">
        <v>1090</v>
      </c>
      <c r="D303" s="9">
        <v>0.99760000000000004</v>
      </c>
      <c r="E303" s="8">
        <v>0</v>
      </c>
      <c r="F303" s="8">
        <v>429</v>
      </c>
      <c r="G303" s="8">
        <v>583</v>
      </c>
      <c r="H303" s="8">
        <v>22</v>
      </c>
      <c r="I303" s="8" t="s">
        <v>576</v>
      </c>
      <c r="J303" s="8">
        <v>18</v>
      </c>
      <c r="K303" s="4" t="s">
        <v>533</v>
      </c>
      <c r="L303" s="4" t="s">
        <v>578</v>
      </c>
      <c r="M303" s="4" t="s">
        <v>585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6" customHeight="1">
      <c r="A304" s="4" t="s">
        <v>1091</v>
      </c>
      <c r="B304" s="4" t="s">
        <v>388</v>
      </c>
      <c r="C304" s="4" t="s">
        <v>211</v>
      </c>
      <c r="D304" s="9">
        <v>0.95569999999999999</v>
      </c>
      <c r="E304" s="8">
        <v>938</v>
      </c>
      <c r="F304" s="8">
        <v>429</v>
      </c>
      <c r="G304" s="8">
        <v>105</v>
      </c>
      <c r="H304" s="8">
        <v>23</v>
      </c>
      <c r="I304" s="8" t="s">
        <v>576</v>
      </c>
      <c r="J304" s="8">
        <v>19</v>
      </c>
      <c r="K304" s="4" t="s">
        <v>518</v>
      </c>
      <c r="L304" s="4" t="s">
        <v>578</v>
      </c>
      <c r="M304" s="4" t="s">
        <v>585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6" customHeight="1">
      <c r="A305" s="4" t="s">
        <v>1092</v>
      </c>
      <c r="B305" s="4" t="s">
        <v>388</v>
      </c>
      <c r="C305" s="4" t="s">
        <v>1093</v>
      </c>
      <c r="D305" s="9">
        <v>0.99099999999999999</v>
      </c>
      <c r="E305" s="8">
        <v>584</v>
      </c>
      <c r="F305" s="8">
        <v>431</v>
      </c>
      <c r="G305" s="8">
        <v>323</v>
      </c>
      <c r="H305" s="8">
        <v>30</v>
      </c>
      <c r="I305" s="8" t="s">
        <v>576</v>
      </c>
      <c r="J305" s="8">
        <v>25</v>
      </c>
      <c r="K305" s="4" t="s">
        <v>468</v>
      </c>
      <c r="L305" s="4" t="s">
        <v>578</v>
      </c>
      <c r="M305" s="4" t="s">
        <v>585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6" customHeight="1">
      <c r="A306" s="4" t="s">
        <v>1094</v>
      </c>
      <c r="B306" s="4" t="s">
        <v>388</v>
      </c>
      <c r="C306" s="4" t="s">
        <v>1095</v>
      </c>
      <c r="D306" s="9">
        <v>0.99929999999999997</v>
      </c>
      <c r="E306" s="8">
        <v>0</v>
      </c>
      <c r="F306" s="8">
        <v>458</v>
      </c>
      <c r="G306" s="8">
        <v>425</v>
      </c>
      <c r="H306" s="8">
        <v>23</v>
      </c>
      <c r="I306" s="8" t="s">
        <v>576</v>
      </c>
      <c r="J306" s="8">
        <v>19</v>
      </c>
      <c r="K306" s="4" t="s">
        <v>534</v>
      </c>
      <c r="L306" s="4" t="s">
        <v>578</v>
      </c>
      <c r="M306" s="4" t="s">
        <v>585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6" customHeight="1">
      <c r="A307" s="4" t="s">
        <v>1096</v>
      </c>
      <c r="B307" s="4" t="s">
        <v>388</v>
      </c>
      <c r="C307" s="4" t="s">
        <v>1097</v>
      </c>
      <c r="D307" s="9">
        <v>0.98629999999999995</v>
      </c>
      <c r="E307" s="8">
        <v>579</v>
      </c>
      <c r="F307" s="8">
        <v>458</v>
      </c>
      <c r="G307" s="8">
        <v>325</v>
      </c>
      <c r="H307" s="8">
        <v>36</v>
      </c>
      <c r="I307" s="8" t="s">
        <v>576</v>
      </c>
      <c r="J307" s="8">
        <v>30</v>
      </c>
      <c r="K307" s="4" t="s">
        <v>472</v>
      </c>
      <c r="L307" s="4" t="s">
        <v>578</v>
      </c>
      <c r="M307" s="4" t="s">
        <v>585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6" customHeight="1">
      <c r="A308" s="4" t="s">
        <v>1098</v>
      </c>
      <c r="B308" s="4" t="s">
        <v>388</v>
      </c>
      <c r="C308" s="4" t="s">
        <v>1099</v>
      </c>
      <c r="D308" s="9">
        <v>0.83340000000000003</v>
      </c>
      <c r="E308" s="8">
        <v>902</v>
      </c>
      <c r="F308" s="8">
        <v>459</v>
      </c>
      <c r="G308" s="8">
        <v>157</v>
      </c>
      <c r="H308" s="8">
        <v>23</v>
      </c>
      <c r="I308" s="8" t="s">
        <v>576</v>
      </c>
      <c r="J308" s="8">
        <v>19</v>
      </c>
      <c r="K308" s="4" t="s">
        <v>523</v>
      </c>
      <c r="L308" s="4" t="s">
        <v>583</v>
      </c>
      <c r="M308" s="4" t="s">
        <v>579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6" customHeight="1">
      <c r="A309" s="4" t="s">
        <v>1100</v>
      </c>
      <c r="B309" s="4" t="s">
        <v>388</v>
      </c>
      <c r="C309" s="4" t="s">
        <v>1101</v>
      </c>
      <c r="D309" s="9">
        <v>0.87929999999999997</v>
      </c>
      <c r="E309" s="8">
        <v>904</v>
      </c>
      <c r="F309" s="8">
        <v>469</v>
      </c>
      <c r="G309" s="8">
        <v>159</v>
      </c>
      <c r="H309" s="8">
        <v>38</v>
      </c>
      <c r="I309" s="8" t="s">
        <v>576</v>
      </c>
      <c r="J309" s="8">
        <v>31</v>
      </c>
      <c r="K309" s="4" t="s">
        <v>523</v>
      </c>
      <c r="L309" s="4" t="s">
        <v>583</v>
      </c>
      <c r="M309" s="4" t="s">
        <v>579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6" customHeight="1">
      <c r="A310" s="4" t="s">
        <v>1102</v>
      </c>
      <c r="B310" s="4" t="s">
        <v>388</v>
      </c>
      <c r="C310" s="4" t="s">
        <v>1103</v>
      </c>
      <c r="D310" s="9">
        <v>0.63380000000000003</v>
      </c>
      <c r="E310" s="8">
        <v>904</v>
      </c>
      <c r="F310" s="8">
        <v>471</v>
      </c>
      <c r="G310" s="8">
        <v>146</v>
      </c>
      <c r="H310" s="8">
        <v>34</v>
      </c>
      <c r="I310" s="8" t="s">
        <v>576</v>
      </c>
      <c r="J310" s="8">
        <v>28</v>
      </c>
      <c r="K310" s="4" t="s">
        <v>523</v>
      </c>
      <c r="L310" s="4" t="s">
        <v>578</v>
      </c>
      <c r="M310" s="4" t="s">
        <v>579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6" customHeight="1">
      <c r="A311" s="4" t="s">
        <v>1104</v>
      </c>
      <c r="B311" s="4" t="s">
        <v>388</v>
      </c>
      <c r="C311" s="4" t="s">
        <v>1105</v>
      </c>
      <c r="D311" s="9">
        <v>0.97060000000000002</v>
      </c>
      <c r="E311" s="8">
        <v>0</v>
      </c>
      <c r="F311" s="8">
        <v>488</v>
      </c>
      <c r="G311" s="8">
        <v>839</v>
      </c>
      <c r="H311" s="8">
        <v>24</v>
      </c>
      <c r="I311" s="8" t="s">
        <v>576</v>
      </c>
      <c r="J311" s="8">
        <v>20</v>
      </c>
      <c r="K311" s="4" t="s">
        <v>535</v>
      </c>
      <c r="L311" s="4" t="s">
        <v>578</v>
      </c>
      <c r="M311" s="4" t="s">
        <v>585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6" customHeight="1">
      <c r="A312" s="4" t="s">
        <v>1106</v>
      </c>
      <c r="B312" s="4" t="s">
        <v>388</v>
      </c>
      <c r="C312" s="4" t="s">
        <v>1107</v>
      </c>
      <c r="D312" s="9">
        <v>0.61170000000000002</v>
      </c>
      <c r="E312" s="8">
        <v>905</v>
      </c>
      <c r="F312" s="8">
        <v>492</v>
      </c>
      <c r="G312" s="8">
        <v>160</v>
      </c>
      <c r="H312" s="8">
        <v>29</v>
      </c>
      <c r="I312" s="8" t="s">
        <v>576</v>
      </c>
      <c r="J312" s="8">
        <v>24</v>
      </c>
      <c r="K312" s="4" t="s">
        <v>832</v>
      </c>
      <c r="L312" s="4" t="s">
        <v>583</v>
      </c>
      <c r="M312" s="4" t="s">
        <v>579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6" customHeight="1">
      <c r="A313" s="4" t="s">
        <v>1108</v>
      </c>
      <c r="B313" s="4" t="s">
        <v>388</v>
      </c>
      <c r="C313" s="4" t="s">
        <v>122</v>
      </c>
      <c r="D313" s="9">
        <v>0.99750000000000005</v>
      </c>
      <c r="E313" s="8">
        <v>836</v>
      </c>
      <c r="F313" s="8">
        <v>510</v>
      </c>
      <c r="G313" s="8">
        <v>60</v>
      </c>
      <c r="H313" s="8">
        <v>26</v>
      </c>
      <c r="I313" s="8" t="s">
        <v>576</v>
      </c>
      <c r="J313" s="8">
        <v>21</v>
      </c>
      <c r="K313" s="4" t="s">
        <v>474</v>
      </c>
      <c r="L313" s="4" t="s">
        <v>578</v>
      </c>
      <c r="M313" s="4" t="s">
        <v>585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6" customHeight="1">
      <c r="A314" s="4" t="s">
        <v>1109</v>
      </c>
      <c r="B314" s="4" t="s">
        <v>388</v>
      </c>
      <c r="C314" s="4" t="s">
        <v>203</v>
      </c>
      <c r="D314" s="9">
        <v>0.99050000000000005</v>
      </c>
      <c r="E314" s="8">
        <v>579</v>
      </c>
      <c r="F314" s="8">
        <v>511</v>
      </c>
      <c r="G314" s="8">
        <v>211</v>
      </c>
      <c r="H314" s="8">
        <v>21</v>
      </c>
      <c r="I314" s="8" t="s">
        <v>576</v>
      </c>
      <c r="J314" s="8">
        <v>17</v>
      </c>
      <c r="K314" s="4" t="s">
        <v>518</v>
      </c>
      <c r="L314" s="4" t="s">
        <v>578</v>
      </c>
      <c r="M314" s="4" t="s">
        <v>585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6" customHeight="1">
      <c r="A315" s="4" t="s">
        <v>1110</v>
      </c>
      <c r="B315" s="4" t="s">
        <v>388</v>
      </c>
      <c r="C315" s="4" t="s">
        <v>1111</v>
      </c>
      <c r="D315" s="9">
        <v>0.92169999999999996</v>
      </c>
      <c r="E315" s="8">
        <v>579</v>
      </c>
      <c r="F315" s="8">
        <v>511</v>
      </c>
      <c r="G315" s="8">
        <v>234</v>
      </c>
      <c r="H315" s="8">
        <v>21</v>
      </c>
      <c r="I315" s="8" t="s">
        <v>576</v>
      </c>
      <c r="J315" s="8">
        <v>17</v>
      </c>
      <c r="K315" s="4" t="s">
        <v>518</v>
      </c>
      <c r="L315" s="4" t="s">
        <v>583</v>
      </c>
      <c r="M315" s="4" t="s">
        <v>585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6" customHeight="1">
      <c r="A316" s="4" t="s">
        <v>1112</v>
      </c>
      <c r="B316" s="4" t="s">
        <v>388</v>
      </c>
      <c r="C316" s="4" t="s">
        <v>1113</v>
      </c>
      <c r="D316" s="9">
        <v>0.99960000000000004</v>
      </c>
      <c r="E316" s="8">
        <v>0</v>
      </c>
      <c r="F316" s="8">
        <v>520</v>
      </c>
      <c r="G316" s="8">
        <v>130</v>
      </c>
      <c r="H316" s="8">
        <v>21</v>
      </c>
      <c r="I316" s="8" t="s">
        <v>576</v>
      </c>
      <c r="J316" s="8">
        <v>17</v>
      </c>
      <c r="K316" s="4" t="s">
        <v>534</v>
      </c>
      <c r="L316" s="4" t="s">
        <v>578</v>
      </c>
      <c r="M316" s="4" t="s">
        <v>585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6" customHeight="1">
      <c r="A317" s="4" t="s">
        <v>1114</v>
      </c>
      <c r="B317" s="4" t="s">
        <v>388</v>
      </c>
      <c r="C317" s="4" t="s">
        <v>209</v>
      </c>
      <c r="D317" s="9">
        <v>0.9798</v>
      </c>
      <c r="E317" s="8">
        <v>579</v>
      </c>
      <c r="F317" s="8">
        <v>532</v>
      </c>
      <c r="G317" s="8">
        <v>174</v>
      </c>
      <c r="H317" s="8">
        <v>21</v>
      </c>
      <c r="I317" s="8" t="s">
        <v>576</v>
      </c>
      <c r="J317" s="8">
        <v>17</v>
      </c>
      <c r="K317" s="4" t="s">
        <v>474</v>
      </c>
      <c r="L317" s="4" t="s">
        <v>578</v>
      </c>
      <c r="M317" s="4" t="s">
        <v>585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6" customHeight="1">
      <c r="A318" s="4" t="s">
        <v>1115</v>
      </c>
      <c r="B318" s="4" t="s">
        <v>388</v>
      </c>
      <c r="C318" s="4" t="s">
        <v>116</v>
      </c>
      <c r="D318" s="9">
        <v>0.99990000000000001</v>
      </c>
      <c r="E318" s="8">
        <v>840</v>
      </c>
      <c r="F318" s="8">
        <v>538</v>
      </c>
      <c r="G318" s="8">
        <v>47</v>
      </c>
      <c r="H318" s="8">
        <v>32</v>
      </c>
      <c r="I318" s="8" t="s">
        <v>576</v>
      </c>
      <c r="J318" s="8">
        <v>26</v>
      </c>
      <c r="K318" s="4" t="s">
        <v>474</v>
      </c>
      <c r="L318" s="4" t="s">
        <v>578</v>
      </c>
      <c r="M318" s="4" t="s">
        <v>585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6" customHeight="1">
      <c r="A319" s="4" t="s">
        <v>1116</v>
      </c>
      <c r="B319" s="4" t="s">
        <v>388</v>
      </c>
      <c r="C319" s="4" t="s">
        <v>1117</v>
      </c>
      <c r="D319" s="9">
        <v>0.99870000000000003</v>
      </c>
      <c r="E319" s="8">
        <v>128</v>
      </c>
      <c r="F319" s="8">
        <v>540</v>
      </c>
      <c r="G319" s="8">
        <v>436</v>
      </c>
      <c r="H319" s="8">
        <v>30</v>
      </c>
      <c r="I319" s="8" t="s">
        <v>576</v>
      </c>
      <c r="J319" s="8">
        <v>25</v>
      </c>
      <c r="K319" s="4" t="s">
        <v>468</v>
      </c>
      <c r="L319" s="4" t="s">
        <v>578</v>
      </c>
      <c r="M319" s="4" t="s">
        <v>585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6" customHeight="1">
      <c r="A320" s="4" t="s">
        <v>1118</v>
      </c>
      <c r="B320" s="4" t="s">
        <v>388</v>
      </c>
      <c r="C320" s="4" t="s">
        <v>219</v>
      </c>
      <c r="D320" s="9">
        <v>0.99380000000000002</v>
      </c>
      <c r="E320" s="8">
        <v>580</v>
      </c>
      <c r="F320" s="8">
        <v>550</v>
      </c>
      <c r="G320" s="8">
        <v>159</v>
      </c>
      <c r="H320" s="8">
        <v>20</v>
      </c>
      <c r="I320" s="8" t="s">
        <v>576</v>
      </c>
      <c r="J320" s="8">
        <v>16</v>
      </c>
      <c r="K320" s="4" t="s">
        <v>474</v>
      </c>
      <c r="L320" s="4" t="s">
        <v>583</v>
      </c>
      <c r="M320" s="4" t="s">
        <v>585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6" customHeight="1">
      <c r="A321" s="4" t="s">
        <v>1119</v>
      </c>
      <c r="B321" s="4" t="s">
        <v>388</v>
      </c>
      <c r="C321" s="4" t="s">
        <v>205</v>
      </c>
      <c r="D321" s="9">
        <v>0.99770000000000003</v>
      </c>
      <c r="E321" s="8">
        <v>0</v>
      </c>
      <c r="F321" s="8">
        <v>567</v>
      </c>
      <c r="G321" s="8">
        <v>98</v>
      </c>
      <c r="H321" s="8">
        <v>23</v>
      </c>
      <c r="I321" s="8" t="s">
        <v>576</v>
      </c>
      <c r="J321" s="8">
        <v>19</v>
      </c>
      <c r="K321" s="4" t="s">
        <v>518</v>
      </c>
      <c r="L321" s="4" t="s">
        <v>578</v>
      </c>
      <c r="M321" s="4" t="s">
        <v>585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6" customHeight="1">
      <c r="A322" s="4" t="s">
        <v>1120</v>
      </c>
      <c r="B322" s="4" t="s">
        <v>388</v>
      </c>
      <c r="C322" s="4" t="s">
        <v>1121</v>
      </c>
      <c r="D322" s="9">
        <v>0.88170000000000004</v>
      </c>
      <c r="E322" s="8">
        <v>0</v>
      </c>
      <c r="F322" s="8">
        <v>568</v>
      </c>
      <c r="G322" s="8">
        <v>415</v>
      </c>
      <c r="H322" s="8">
        <v>24</v>
      </c>
      <c r="I322" s="8" t="s">
        <v>576</v>
      </c>
      <c r="J322" s="8">
        <v>20</v>
      </c>
      <c r="K322" s="4" t="s">
        <v>1122</v>
      </c>
      <c r="L322" s="4" t="s">
        <v>583</v>
      </c>
      <c r="M322" s="4" t="s">
        <v>579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6" customHeight="1">
      <c r="A323" s="4" t="s">
        <v>1123</v>
      </c>
      <c r="B323" s="4" t="s">
        <v>388</v>
      </c>
      <c r="C323" s="4" t="s">
        <v>1124</v>
      </c>
      <c r="D323" s="9">
        <v>0.97150000000000003</v>
      </c>
      <c r="E323" s="8">
        <v>143</v>
      </c>
      <c r="F323" s="8">
        <v>568</v>
      </c>
      <c r="G323" s="8">
        <v>303</v>
      </c>
      <c r="H323" s="8">
        <v>26</v>
      </c>
      <c r="I323" s="8" t="s">
        <v>576</v>
      </c>
      <c r="J323" s="8">
        <v>21</v>
      </c>
      <c r="K323" s="4" t="s">
        <v>536</v>
      </c>
      <c r="L323" s="4" t="s">
        <v>578</v>
      </c>
      <c r="M323" s="4" t="s">
        <v>585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6" customHeight="1">
      <c r="A324" s="4" t="s">
        <v>1125</v>
      </c>
      <c r="B324" s="4" t="s">
        <v>388</v>
      </c>
      <c r="C324" s="4" t="s">
        <v>228</v>
      </c>
      <c r="D324" s="9">
        <v>0.99729999999999996</v>
      </c>
      <c r="E324" s="8">
        <v>580</v>
      </c>
      <c r="F324" s="8">
        <v>568</v>
      </c>
      <c r="G324" s="8">
        <v>140</v>
      </c>
      <c r="H324" s="8">
        <v>21</v>
      </c>
      <c r="I324" s="8" t="s">
        <v>576</v>
      </c>
      <c r="J324" s="8">
        <v>17</v>
      </c>
      <c r="K324" s="4" t="s">
        <v>474</v>
      </c>
      <c r="L324" s="4" t="s">
        <v>583</v>
      </c>
      <c r="M324" s="4" t="s">
        <v>585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6" customHeight="1">
      <c r="A325" s="4" t="s">
        <v>1126</v>
      </c>
      <c r="B325" s="4" t="s">
        <v>388</v>
      </c>
      <c r="C325" s="4" t="s">
        <v>116</v>
      </c>
      <c r="D325" s="9">
        <v>0.99980000000000002</v>
      </c>
      <c r="E325" s="8">
        <v>843</v>
      </c>
      <c r="F325" s="8">
        <v>570</v>
      </c>
      <c r="G325" s="8">
        <v>43</v>
      </c>
      <c r="H325" s="8">
        <v>27</v>
      </c>
      <c r="I325" s="8" t="s">
        <v>576</v>
      </c>
      <c r="J325" s="8">
        <v>22</v>
      </c>
      <c r="K325" s="4" t="s">
        <v>483</v>
      </c>
      <c r="L325" s="4" t="s">
        <v>578</v>
      </c>
      <c r="M325" s="4" t="s">
        <v>585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6" customHeight="1">
      <c r="A326" s="4" t="s">
        <v>1127</v>
      </c>
      <c r="B326" s="4" t="s">
        <v>388</v>
      </c>
      <c r="C326" s="4" t="s">
        <v>1052</v>
      </c>
      <c r="D326" s="9">
        <v>0.67810000000000004</v>
      </c>
      <c r="E326" s="8">
        <v>909</v>
      </c>
      <c r="F326" s="8">
        <v>578</v>
      </c>
      <c r="G326" s="8">
        <v>18</v>
      </c>
      <c r="H326" s="8">
        <v>17</v>
      </c>
      <c r="I326" s="8" t="s">
        <v>576</v>
      </c>
      <c r="J326" s="8">
        <v>14</v>
      </c>
      <c r="K326" s="4" t="s">
        <v>474</v>
      </c>
      <c r="L326" s="4" t="s">
        <v>583</v>
      </c>
      <c r="M326" s="4" t="s">
        <v>579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6" customHeight="1">
      <c r="A327" s="4" t="s">
        <v>1128</v>
      </c>
      <c r="B327" s="4" t="s">
        <v>403</v>
      </c>
      <c r="C327" s="4" t="s">
        <v>402</v>
      </c>
      <c r="D327" s="9">
        <v>0.99650000000000005</v>
      </c>
      <c r="E327" s="8">
        <v>75</v>
      </c>
      <c r="F327" s="8">
        <v>3</v>
      </c>
      <c r="G327" s="8">
        <v>116</v>
      </c>
      <c r="H327" s="8">
        <v>23</v>
      </c>
      <c r="I327" s="8" t="s">
        <v>576</v>
      </c>
      <c r="J327" s="8">
        <v>19</v>
      </c>
      <c r="K327" s="4" t="s">
        <v>1129</v>
      </c>
      <c r="L327" s="4" t="s">
        <v>578</v>
      </c>
      <c r="M327" s="4" t="s">
        <v>585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6" customHeight="1">
      <c r="A328" s="4" t="s">
        <v>1130</v>
      </c>
      <c r="B328" s="4" t="s">
        <v>403</v>
      </c>
      <c r="C328" s="4" t="s">
        <v>402</v>
      </c>
      <c r="D328" s="9">
        <v>0.99919999999999998</v>
      </c>
      <c r="E328" s="8">
        <v>347</v>
      </c>
      <c r="F328" s="8">
        <v>3</v>
      </c>
      <c r="G328" s="8">
        <v>117</v>
      </c>
      <c r="H328" s="8">
        <v>23</v>
      </c>
      <c r="I328" s="8" t="s">
        <v>576</v>
      </c>
      <c r="J328" s="8">
        <v>19</v>
      </c>
      <c r="K328" s="4" t="s">
        <v>537</v>
      </c>
      <c r="L328" s="4" t="s">
        <v>578</v>
      </c>
      <c r="M328" s="4" t="s">
        <v>585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6" customHeight="1">
      <c r="A329" s="4" t="s">
        <v>1131</v>
      </c>
      <c r="B329" s="4" t="s">
        <v>403</v>
      </c>
      <c r="C329" s="4" t="s">
        <v>402</v>
      </c>
      <c r="D329" s="9">
        <v>0.99639999999999995</v>
      </c>
      <c r="E329" s="8">
        <v>75</v>
      </c>
      <c r="F329" s="8">
        <v>35</v>
      </c>
      <c r="G329" s="8">
        <v>116</v>
      </c>
      <c r="H329" s="8">
        <v>23</v>
      </c>
      <c r="I329" s="8" t="s">
        <v>576</v>
      </c>
      <c r="J329" s="8">
        <v>19</v>
      </c>
      <c r="K329" s="4" t="s">
        <v>1132</v>
      </c>
      <c r="L329" s="4" t="s">
        <v>583</v>
      </c>
      <c r="M329" s="4" t="s">
        <v>585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6" customHeight="1">
      <c r="A330" s="4" t="s">
        <v>1133</v>
      </c>
      <c r="B330" s="4" t="s">
        <v>403</v>
      </c>
      <c r="C330" s="4" t="s">
        <v>205</v>
      </c>
      <c r="D330" s="9">
        <v>0.99909999999999999</v>
      </c>
      <c r="E330" s="8">
        <v>355</v>
      </c>
      <c r="F330" s="8">
        <v>35</v>
      </c>
      <c r="G330" s="8">
        <v>101</v>
      </c>
      <c r="H330" s="8">
        <v>22</v>
      </c>
      <c r="I330" s="8" t="s">
        <v>576</v>
      </c>
      <c r="J330" s="8">
        <v>18</v>
      </c>
      <c r="K330" s="4" t="s">
        <v>538</v>
      </c>
      <c r="L330" s="4" t="s">
        <v>578</v>
      </c>
      <c r="M330" s="4" t="s">
        <v>585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6" customHeight="1">
      <c r="A331" s="4" t="s">
        <v>1134</v>
      </c>
      <c r="B331" s="4" t="s">
        <v>403</v>
      </c>
      <c r="C331" s="4" t="s">
        <v>205</v>
      </c>
      <c r="D331" s="9">
        <v>0.99909999999999999</v>
      </c>
      <c r="E331" s="8">
        <v>84</v>
      </c>
      <c r="F331" s="8">
        <v>67</v>
      </c>
      <c r="G331" s="8">
        <v>100</v>
      </c>
      <c r="H331" s="8">
        <v>23</v>
      </c>
      <c r="I331" s="8" t="s">
        <v>576</v>
      </c>
      <c r="J331" s="8">
        <v>19</v>
      </c>
      <c r="K331" s="4" t="s">
        <v>1135</v>
      </c>
      <c r="L331" s="4" t="s">
        <v>578</v>
      </c>
      <c r="M331" s="4" t="s">
        <v>585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6" customHeight="1">
      <c r="A332" s="4" t="s">
        <v>1136</v>
      </c>
      <c r="B332" s="4" t="s">
        <v>403</v>
      </c>
      <c r="C332" s="4" t="s">
        <v>205</v>
      </c>
      <c r="D332" s="9">
        <v>0.999</v>
      </c>
      <c r="E332" s="8">
        <v>355</v>
      </c>
      <c r="F332" s="8">
        <v>67</v>
      </c>
      <c r="G332" s="8">
        <v>101</v>
      </c>
      <c r="H332" s="8">
        <v>23</v>
      </c>
      <c r="I332" s="8" t="s">
        <v>576</v>
      </c>
      <c r="J332" s="8">
        <v>19</v>
      </c>
      <c r="K332" s="4" t="s">
        <v>1137</v>
      </c>
      <c r="L332" s="4" t="s">
        <v>578</v>
      </c>
      <c r="M332" s="4" t="s">
        <v>585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6" customHeight="1">
      <c r="A333" s="4" t="s">
        <v>1138</v>
      </c>
      <c r="B333" s="4" t="s">
        <v>403</v>
      </c>
      <c r="C333" s="4" t="s">
        <v>406</v>
      </c>
      <c r="D333" s="9">
        <v>0.99919999999999998</v>
      </c>
      <c r="E333" s="8">
        <v>111</v>
      </c>
      <c r="F333" s="8">
        <v>98</v>
      </c>
      <c r="G333" s="8">
        <v>47</v>
      </c>
      <c r="H333" s="8">
        <v>26</v>
      </c>
      <c r="I333" s="8" t="s">
        <v>576</v>
      </c>
      <c r="J333" s="8">
        <v>21</v>
      </c>
      <c r="K333" s="4" t="s">
        <v>539</v>
      </c>
      <c r="L333" s="4" t="s">
        <v>578</v>
      </c>
      <c r="M333" s="4" t="s">
        <v>585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6" customHeight="1">
      <c r="A334" s="4" t="s">
        <v>1139</v>
      </c>
      <c r="B334" s="4" t="s">
        <v>403</v>
      </c>
      <c r="C334" s="4" t="s">
        <v>406</v>
      </c>
      <c r="D334" s="9">
        <v>0.99650000000000005</v>
      </c>
      <c r="E334" s="8">
        <v>383</v>
      </c>
      <c r="F334" s="8">
        <v>98</v>
      </c>
      <c r="G334" s="8">
        <v>47</v>
      </c>
      <c r="H334" s="8">
        <v>26</v>
      </c>
      <c r="I334" s="8" t="s">
        <v>576</v>
      </c>
      <c r="J334" s="8">
        <v>21</v>
      </c>
      <c r="K334" s="4" t="s">
        <v>1140</v>
      </c>
      <c r="L334" s="4" t="s">
        <v>578</v>
      </c>
      <c r="M334" s="4" t="s">
        <v>585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6" customHeight="1">
      <c r="A335" s="4" t="s">
        <v>1141</v>
      </c>
      <c r="B335" s="4" t="s">
        <v>403</v>
      </c>
      <c r="C335" s="4" t="s">
        <v>406</v>
      </c>
      <c r="D335" s="9">
        <v>0.99919999999999998</v>
      </c>
      <c r="E335" s="8">
        <v>111</v>
      </c>
      <c r="F335" s="8">
        <v>130</v>
      </c>
      <c r="G335" s="8">
        <v>47</v>
      </c>
      <c r="H335" s="8">
        <v>26</v>
      </c>
      <c r="I335" s="8" t="s">
        <v>576</v>
      </c>
      <c r="J335" s="8">
        <v>21</v>
      </c>
      <c r="K335" s="4" t="s">
        <v>1142</v>
      </c>
      <c r="L335" s="4" t="s">
        <v>578</v>
      </c>
      <c r="M335" s="4" t="s">
        <v>585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6" customHeight="1">
      <c r="A336" s="4" t="s">
        <v>1143</v>
      </c>
      <c r="B336" s="4" t="s">
        <v>403</v>
      </c>
      <c r="C336" s="4" t="s">
        <v>223</v>
      </c>
      <c r="D336" s="9">
        <v>0.99490000000000001</v>
      </c>
      <c r="E336" s="8">
        <v>337</v>
      </c>
      <c r="F336" s="8">
        <v>132</v>
      </c>
      <c r="G336" s="8">
        <v>138</v>
      </c>
      <c r="H336" s="8">
        <v>24</v>
      </c>
      <c r="I336" s="8" t="s">
        <v>576</v>
      </c>
      <c r="J336" s="8">
        <v>20</v>
      </c>
      <c r="K336" s="4" t="s">
        <v>540</v>
      </c>
      <c r="L336" s="4" t="s">
        <v>578</v>
      </c>
      <c r="M336" s="4" t="s">
        <v>585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6" customHeight="1">
      <c r="A337" s="4" t="s">
        <v>1144</v>
      </c>
      <c r="B337" s="4" t="s">
        <v>403</v>
      </c>
      <c r="C337" s="4" t="s">
        <v>223</v>
      </c>
      <c r="D337" s="9">
        <v>0.99080000000000001</v>
      </c>
      <c r="E337" s="8">
        <v>65</v>
      </c>
      <c r="F337" s="8">
        <v>165</v>
      </c>
      <c r="G337" s="8">
        <v>138</v>
      </c>
      <c r="H337" s="8">
        <v>23</v>
      </c>
      <c r="I337" s="8" t="s">
        <v>576</v>
      </c>
      <c r="J337" s="8">
        <v>19</v>
      </c>
      <c r="K337" s="4" t="s">
        <v>1145</v>
      </c>
      <c r="L337" s="4" t="s">
        <v>578</v>
      </c>
      <c r="M337" s="4" t="s">
        <v>585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6" customHeight="1">
      <c r="A338" s="4" t="s">
        <v>1146</v>
      </c>
      <c r="B338" s="4" t="s">
        <v>403</v>
      </c>
      <c r="C338" s="4" t="s">
        <v>223</v>
      </c>
      <c r="D338" s="9">
        <v>0.99170000000000003</v>
      </c>
      <c r="E338" s="8">
        <v>336</v>
      </c>
      <c r="F338" s="8">
        <v>165</v>
      </c>
      <c r="G338" s="8">
        <v>139</v>
      </c>
      <c r="H338" s="8">
        <v>23</v>
      </c>
      <c r="I338" s="8" t="s">
        <v>576</v>
      </c>
      <c r="J338" s="8">
        <v>19</v>
      </c>
      <c r="K338" s="4" t="s">
        <v>557</v>
      </c>
      <c r="L338" s="4" t="s">
        <v>578</v>
      </c>
      <c r="M338" s="4" t="s">
        <v>585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6" customHeight="1">
      <c r="A339" s="4" t="s">
        <v>1147</v>
      </c>
      <c r="B339" s="4" t="s">
        <v>403</v>
      </c>
      <c r="C339" s="4" t="s">
        <v>784</v>
      </c>
      <c r="D339" s="9">
        <v>0.99480000000000002</v>
      </c>
      <c r="E339" s="8">
        <v>275</v>
      </c>
      <c r="F339" s="8">
        <v>196</v>
      </c>
      <c r="G339" s="8">
        <v>265</v>
      </c>
      <c r="H339" s="8">
        <v>23</v>
      </c>
      <c r="I339" s="8" t="s">
        <v>576</v>
      </c>
      <c r="J339" s="8">
        <v>19</v>
      </c>
      <c r="K339" s="4" t="s">
        <v>1148</v>
      </c>
      <c r="L339" s="4" t="s">
        <v>578</v>
      </c>
      <c r="M339" s="4" t="s">
        <v>585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6" customHeight="1">
      <c r="A340" s="4" t="s">
        <v>1149</v>
      </c>
      <c r="B340" s="4" t="s">
        <v>403</v>
      </c>
      <c r="C340" s="4" t="s">
        <v>784</v>
      </c>
      <c r="D340" s="9">
        <v>0.99519999999999997</v>
      </c>
      <c r="E340" s="8">
        <v>3</v>
      </c>
      <c r="F340" s="8">
        <v>197</v>
      </c>
      <c r="G340" s="8">
        <v>263</v>
      </c>
      <c r="H340" s="8">
        <v>21</v>
      </c>
      <c r="I340" s="8" t="s">
        <v>576</v>
      </c>
      <c r="J340" s="8">
        <v>17</v>
      </c>
      <c r="K340" s="4" t="s">
        <v>1150</v>
      </c>
      <c r="L340" s="4" t="s">
        <v>583</v>
      </c>
      <c r="M340" s="4" t="s">
        <v>585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6" customHeight="1">
      <c r="A341" s="4" t="s">
        <v>1151</v>
      </c>
      <c r="B341" s="4" t="s">
        <v>403</v>
      </c>
      <c r="C341" s="4" t="s">
        <v>784</v>
      </c>
      <c r="D341" s="9">
        <v>0.99670000000000003</v>
      </c>
      <c r="E341" s="8">
        <v>3</v>
      </c>
      <c r="F341" s="8">
        <v>227</v>
      </c>
      <c r="G341" s="8">
        <v>264</v>
      </c>
      <c r="H341" s="8">
        <v>23</v>
      </c>
      <c r="I341" s="8" t="s">
        <v>576</v>
      </c>
      <c r="J341" s="8">
        <v>19</v>
      </c>
      <c r="K341" s="4" t="s">
        <v>541</v>
      </c>
      <c r="L341" s="4" t="s">
        <v>583</v>
      </c>
      <c r="M341" s="4" t="s">
        <v>585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6" customHeight="1">
      <c r="A342" s="4" t="s">
        <v>1152</v>
      </c>
      <c r="B342" s="4" t="s">
        <v>403</v>
      </c>
      <c r="C342" s="4" t="s">
        <v>219</v>
      </c>
      <c r="D342" s="9">
        <v>0.99199999999999999</v>
      </c>
      <c r="E342" s="8">
        <v>325</v>
      </c>
      <c r="F342" s="8">
        <v>227</v>
      </c>
      <c r="G342" s="8">
        <v>163</v>
      </c>
      <c r="H342" s="8">
        <v>23</v>
      </c>
      <c r="I342" s="8" t="s">
        <v>576</v>
      </c>
      <c r="J342" s="8">
        <v>19</v>
      </c>
      <c r="K342" s="4" t="s">
        <v>542</v>
      </c>
      <c r="L342" s="4" t="s">
        <v>578</v>
      </c>
      <c r="M342" s="4" t="s">
        <v>585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6" customHeight="1">
      <c r="A343" s="4" t="s">
        <v>1153</v>
      </c>
      <c r="B343" s="4" t="s">
        <v>403</v>
      </c>
      <c r="C343" s="4" t="s">
        <v>219</v>
      </c>
      <c r="D343" s="9">
        <v>0.98150000000000004</v>
      </c>
      <c r="E343" s="8">
        <v>325</v>
      </c>
      <c r="F343" s="8">
        <v>260</v>
      </c>
      <c r="G343" s="8">
        <v>162</v>
      </c>
      <c r="H343" s="8">
        <v>23</v>
      </c>
      <c r="I343" s="8" t="s">
        <v>576</v>
      </c>
      <c r="J343" s="8">
        <v>19</v>
      </c>
      <c r="K343" s="4" t="s">
        <v>771</v>
      </c>
      <c r="L343" s="4" t="s">
        <v>583</v>
      </c>
      <c r="M343" s="4" t="s">
        <v>585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6" customHeight="1">
      <c r="A344" s="4" t="s">
        <v>1154</v>
      </c>
      <c r="B344" s="4" t="s">
        <v>403</v>
      </c>
      <c r="C344" s="4" t="s">
        <v>219</v>
      </c>
      <c r="D344" s="9">
        <v>0.9899</v>
      </c>
      <c r="E344" s="8">
        <v>54</v>
      </c>
      <c r="F344" s="8">
        <v>261</v>
      </c>
      <c r="G344" s="8">
        <v>161</v>
      </c>
      <c r="H344" s="8">
        <v>21</v>
      </c>
      <c r="I344" s="8" t="s">
        <v>576</v>
      </c>
      <c r="J344" s="8">
        <v>17</v>
      </c>
      <c r="K344" s="4" t="s">
        <v>1155</v>
      </c>
      <c r="L344" s="4" t="s">
        <v>583</v>
      </c>
      <c r="M344" s="4" t="s">
        <v>585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6" customHeight="1">
      <c r="A345" s="4" t="s">
        <v>1156</v>
      </c>
      <c r="B345" s="4" t="s">
        <v>403</v>
      </c>
      <c r="C345" s="4" t="s">
        <v>158</v>
      </c>
      <c r="D345" s="9">
        <v>0.99050000000000005</v>
      </c>
      <c r="E345" s="8">
        <v>103</v>
      </c>
      <c r="F345" s="8">
        <v>291</v>
      </c>
      <c r="G345" s="8">
        <v>61</v>
      </c>
      <c r="H345" s="8">
        <v>25</v>
      </c>
      <c r="I345" s="8" t="s">
        <v>576</v>
      </c>
      <c r="J345" s="8">
        <v>20</v>
      </c>
      <c r="K345" s="4" t="s">
        <v>1157</v>
      </c>
      <c r="L345" s="4" t="s">
        <v>578</v>
      </c>
      <c r="M345" s="4" t="s">
        <v>585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6" customHeight="1">
      <c r="A346" s="4" t="s">
        <v>1158</v>
      </c>
      <c r="B346" s="4" t="s">
        <v>403</v>
      </c>
      <c r="C346" s="4" t="s">
        <v>158</v>
      </c>
      <c r="D346" s="9">
        <v>0.99819999999999998</v>
      </c>
      <c r="E346" s="8">
        <v>375</v>
      </c>
      <c r="F346" s="8">
        <v>291</v>
      </c>
      <c r="G346" s="8">
        <v>61</v>
      </c>
      <c r="H346" s="8">
        <v>24</v>
      </c>
      <c r="I346" s="8" t="s">
        <v>576</v>
      </c>
      <c r="J346" s="8">
        <v>20</v>
      </c>
      <c r="K346" s="4" t="s">
        <v>543</v>
      </c>
      <c r="L346" s="4" t="s">
        <v>583</v>
      </c>
      <c r="M346" s="4" t="s">
        <v>585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6" customHeight="1">
      <c r="A347" s="4" t="s">
        <v>1159</v>
      </c>
      <c r="B347" s="4" t="s">
        <v>403</v>
      </c>
      <c r="C347" s="4" t="s">
        <v>158</v>
      </c>
      <c r="D347" s="9">
        <v>0.98809999999999998</v>
      </c>
      <c r="E347" s="8">
        <v>103</v>
      </c>
      <c r="F347" s="8">
        <v>323</v>
      </c>
      <c r="G347" s="8">
        <v>61</v>
      </c>
      <c r="H347" s="8">
        <v>25</v>
      </c>
      <c r="I347" s="8" t="s">
        <v>576</v>
      </c>
      <c r="J347" s="8">
        <v>20</v>
      </c>
      <c r="K347" s="4" t="s">
        <v>1160</v>
      </c>
      <c r="L347" s="4" t="s">
        <v>578</v>
      </c>
      <c r="M347" s="4" t="s">
        <v>585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6" customHeight="1">
      <c r="A348" s="4" t="s">
        <v>1161</v>
      </c>
      <c r="B348" s="4" t="s">
        <v>403</v>
      </c>
      <c r="C348" s="4" t="s">
        <v>228</v>
      </c>
      <c r="D348" s="9">
        <v>0.99960000000000004</v>
      </c>
      <c r="E348" s="8">
        <v>334</v>
      </c>
      <c r="F348" s="8">
        <v>324</v>
      </c>
      <c r="G348" s="8">
        <v>144</v>
      </c>
      <c r="H348" s="8">
        <v>24</v>
      </c>
      <c r="I348" s="8" t="s">
        <v>576</v>
      </c>
      <c r="J348" s="8">
        <v>20</v>
      </c>
      <c r="K348" s="4" t="s">
        <v>544</v>
      </c>
      <c r="L348" s="4" t="s">
        <v>578</v>
      </c>
      <c r="M348" s="4" t="s">
        <v>585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6" customHeight="1">
      <c r="A349" s="4" t="s">
        <v>1162</v>
      </c>
      <c r="B349" s="4" t="s">
        <v>403</v>
      </c>
      <c r="C349" s="4" t="s">
        <v>228</v>
      </c>
      <c r="D349" s="9">
        <v>0.99939999999999996</v>
      </c>
      <c r="E349" s="8">
        <v>62</v>
      </c>
      <c r="F349" s="8">
        <v>356</v>
      </c>
      <c r="G349" s="8">
        <v>144</v>
      </c>
      <c r="H349" s="8">
        <v>23</v>
      </c>
      <c r="I349" s="8" t="s">
        <v>576</v>
      </c>
      <c r="J349" s="8">
        <v>19</v>
      </c>
      <c r="K349" s="4" t="s">
        <v>1155</v>
      </c>
      <c r="L349" s="4" t="s">
        <v>578</v>
      </c>
      <c r="M349" s="4" t="s">
        <v>585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6" customHeight="1">
      <c r="A350" s="4" t="s">
        <v>1163</v>
      </c>
      <c r="B350" s="4" t="s">
        <v>403</v>
      </c>
      <c r="C350" s="4" t="s">
        <v>228</v>
      </c>
      <c r="D350" s="9">
        <v>0.99929999999999997</v>
      </c>
      <c r="E350" s="8">
        <v>334</v>
      </c>
      <c r="F350" s="8">
        <v>356</v>
      </c>
      <c r="G350" s="8">
        <v>144</v>
      </c>
      <c r="H350" s="8">
        <v>23</v>
      </c>
      <c r="I350" s="8" t="s">
        <v>576</v>
      </c>
      <c r="J350" s="8">
        <v>19</v>
      </c>
      <c r="K350" s="4" t="s">
        <v>1164</v>
      </c>
      <c r="L350" s="4" t="s">
        <v>578</v>
      </c>
      <c r="M350" s="4" t="s">
        <v>585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6" customHeight="1">
      <c r="A351" s="4" t="s">
        <v>1165</v>
      </c>
      <c r="B351" s="4" t="s">
        <v>403</v>
      </c>
      <c r="C351" s="4" t="s">
        <v>146</v>
      </c>
      <c r="D351" s="9">
        <v>0.99929999999999997</v>
      </c>
      <c r="E351" s="8">
        <v>67</v>
      </c>
      <c r="F351" s="8">
        <v>387</v>
      </c>
      <c r="G351" s="8">
        <v>135</v>
      </c>
      <c r="H351" s="8">
        <v>23</v>
      </c>
      <c r="I351" s="8" t="s">
        <v>576</v>
      </c>
      <c r="J351" s="8">
        <v>19</v>
      </c>
      <c r="K351" s="4" t="s">
        <v>1157</v>
      </c>
      <c r="L351" s="4" t="s">
        <v>578</v>
      </c>
      <c r="M351" s="4" t="s">
        <v>585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6" customHeight="1">
      <c r="A352" s="4" t="s">
        <v>1166</v>
      </c>
      <c r="B352" s="4" t="s">
        <v>403</v>
      </c>
      <c r="C352" s="4" t="s">
        <v>146</v>
      </c>
      <c r="D352" s="9">
        <v>0.99939999999999996</v>
      </c>
      <c r="E352" s="8">
        <v>339</v>
      </c>
      <c r="F352" s="8">
        <v>387</v>
      </c>
      <c r="G352" s="8">
        <v>134</v>
      </c>
      <c r="H352" s="8">
        <v>23</v>
      </c>
      <c r="I352" s="8" t="s">
        <v>576</v>
      </c>
      <c r="J352" s="8">
        <v>19</v>
      </c>
      <c r="K352" s="4" t="s">
        <v>543</v>
      </c>
      <c r="L352" s="4" t="s">
        <v>578</v>
      </c>
      <c r="M352" s="4" t="s">
        <v>585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6" customHeight="1">
      <c r="A353" s="4" t="s">
        <v>1167</v>
      </c>
      <c r="B353" s="4" t="s">
        <v>403</v>
      </c>
      <c r="C353" s="4" t="s">
        <v>146</v>
      </c>
      <c r="D353" s="9">
        <v>0.99929999999999997</v>
      </c>
      <c r="E353" s="8">
        <v>67</v>
      </c>
      <c r="F353" s="8">
        <v>419</v>
      </c>
      <c r="G353" s="8">
        <v>134</v>
      </c>
      <c r="H353" s="8">
        <v>23</v>
      </c>
      <c r="I353" s="8" t="s">
        <v>576</v>
      </c>
      <c r="J353" s="8">
        <v>19</v>
      </c>
      <c r="K353" s="4" t="s">
        <v>1142</v>
      </c>
      <c r="L353" s="4" t="s">
        <v>578</v>
      </c>
      <c r="M353" s="4" t="s">
        <v>585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6" customHeight="1">
      <c r="A354" s="4" t="s">
        <v>1168</v>
      </c>
      <c r="B354" s="4" t="s">
        <v>403</v>
      </c>
      <c r="C354" s="4" t="s">
        <v>203</v>
      </c>
      <c r="D354" s="9">
        <v>0.997</v>
      </c>
      <c r="E354" s="8">
        <v>301</v>
      </c>
      <c r="F354" s="8">
        <v>419</v>
      </c>
      <c r="G354" s="8">
        <v>211</v>
      </c>
      <c r="H354" s="8">
        <v>23</v>
      </c>
      <c r="I354" s="8" t="s">
        <v>576</v>
      </c>
      <c r="J354" s="8">
        <v>19</v>
      </c>
      <c r="K354" s="4" t="s">
        <v>545</v>
      </c>
      <c r="L354" s="4" t="s">
        <v>578</v>
      </c>
      <c r="M354" s="4" t="s">
        <v>585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6" customHeight="1">
      <c r="A355" s="4" t="s">
        <v>1169</v>
      </c>
      <c r="B355" s="4" t="s">
        <v>403</v>
      </c>
      <c r="C355" s="4" t="s">
        <v>234</v>
      </c>
      <c r="D355" s="9">
        <v>0.99860000000000004</v>
      </c>
      <c r="E355" s="8">
        <v>67</v>
      </c>
      <c r="F355" s="8">
        <v>451</v>
      </c>
      <c r="G355" s="8">
        <v>136</v>
      </c>
      <c r="H355" s="8">
        <v>23</v>
      </c>
      <c r="I355" s="8" t="s">
        <v>576</v>
      </c>
      <c r="J355" s="8">
        <v>19</v>
      </c>
      <c r="K355" s="4" t="s">
        <v>546</v>
      </c>
      <c r="L355" s="4" t="s">
        <v>583</v>
      </c>
      <c r="M355" s="4" t="s">
        <v>585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6" customHeight="1">
      <c r="A356" s="4" t="s">
        <v>1170</v>
      </c>
      <c r="B356" s="4" t="s">
        <v>403</v>
      </c>
      <c r="C356" s="4" t="s">
        <v>203</v>
      </c>
      <c r="D356" s="9">
        <v>0.99160000000000004</v>
      </c>
      <c r="E356" s="8">
        <v>302</v>
      </c>
      <c r="F356" s="8">
        <v>453</v>
      </c>
      <c r="G356" s="8">
        <v>210</v>
      </c>
      <c r="H356" s="8">
        <v>21</v>
      </c>
      <c r="I356" s="8" t="s">
        <v>576</v>
      </c>
      <c r="J356" s="8">
        <v>17</v>
      </c>
      <c r="K356" s="4" t="s">
        <v>1171</v>
      </c>
      <c r="L356" s="4" t="s">
        <v>578</v>
      </c>
      <c r="M356" s="4" t="s">
        <v>585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6" customHeight="1">
      <c r="A357" s="4" t="s">
        <v>1172</v>
      </c>
      <c r="B357" s="4" t="s">
        <v>403</v>
      </c>
      <c r="C357" s="4" t="s">
        <v>234</v>
      </c>
      <c r="D357" s="9">
        <v>0.99850000000000005</v>
      </c>
      <c r="E357" s="8">
        <v>67</v>
      </c>
      <c r="F357" s="8">
        <v>483</v>
      </c>
      <c r="G357" s="8">
        <v>136</v>
      </c>
      <c r="H357" s="8">
        <v>23</v>
      </c>
      <c r="I357" s="8" t="s">
        <v>576</v>
      </c>
      <c r="J357" s="8">
        <v>19</v>
      </c>
      <c r="K357" s="4" t="s">
        <v>1173</v>
      </c>
      <c r="L357" s="4" t="s">
        <v>583</v>
      </c>
      <c r="M357" s="4" t="s">
        <v>585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6" customHeight="1">
      <c r="A358" s="4" t="s">
        <v>1174</v>
      </c>
      <c r="B358" s="4" t="s">
        <v>403</v>
      </c>
      <c r="C358" s="4" t="s">
        <v>1175</v>
      </c>
      <c r="D358" s="9">
        <v>0.39279999999999998</v>
      </c>
      <c r="E358" s="8">
        <v>271</v>
      </c>
      <c r="F358" s="8">
        <v>507</v>
      </c>
      <c r="G358" s="8">
        <v>29</v>
      </c>
      <c r="H358" s="8">
        <v>217</v>
      </c>
      <c r="I358" s="8" t="s">
        <v>661</v>
      </c>
      <c r="J358" s="8">
        <v>178</v>
      </c>
      <c r="K358" s="4" t="s">
        <v>1176</v>
      </c>
      <c r="L358" s="4" t="s">
        <v>578</v>
      </c>
      <c r="M358" s="4" t="s">
        <v>579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6" customHeight="1">
      <c r="A359" s="4" t="s">
        <v>1177</v>
      </c>
      <c r="B359" s="4" t="s">
        <v>403</v>
      </c>
      <c r="C359" s="4" t="s">
        <v>1178</v>
      </c>
      <c r="D359" s="9">
        <v>0.35759999999999997</v>
      </c>
      <c r="E359" s="8">
        <v>273</v>
      </c>
      <c r="F359" s="8">
        <v>507</v>
      </c>
      <c r="G359" s="8">
        <v>27</v>
      </c>
      <c r="H359" s="8">
        <v>217</v>
      </c>
      <c r="I359" s="8" t="s">
        <v>661</v>
      </c>
      <c r="J359" s="8">
        <v>178</v>
      </c>
      <c r="K359" s="4" t="s">
        <v>1176</v>
      </c>
      <c r="L359" s="4" t="s">
        <v>583</v>
      </c>
      <c r="M359" s="4" t="s">
        <v>579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6" customHeight="1">
      <c r="A360" s="4" t="s">
        <v>1179</v>
      </c>
      <c r="B360" s="4" t="s">
        <v>403</v>
      </c>
      <c r="C360" s="4" t="s">
        <v>234</v>
      </c>
      <c r="D360" s="9">
        <v>0.99860000000000004</v>
      </c>
      <c r="E360" s="8">
        <v>67</v>
      </c>
      <c r="F360" s="8">
        <v>515</v>
      </c>
      <c r="G360" s="8">
        <v>136</v>
      </c>
      <c r="H360" s="8">
        <v>23</v>
      </c>
      <c r="I360" s="8" t="s">
        <v>576</v>
      </c>
      <c r="J360" s="8">
        <v>19</v>
      </c>
      <c r="K360" s="4" t="s">
        <v>547</v>
      </c>
      <c r="L360" s="4" t="s">
        <v>583</v>
      </c>
      <c r="M360" s="4" t="s">
        <v>585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6" customHeight="1">
      <c r="A361" s="4" t="s">
        <v>1180</v>
      </c>
      <c r="B361" s="4" t="s">
        <v>403</v>
      </c>
      <c r="C361" s="4" t="s">
        <v>1181</v>
      </c>
      <c r="D361" s="9">
        <v>0.65639999999999998</v>
      </c>
      <c r="E361" s="8">
        <v>401</v>
      </c>
      <c r="F361" s="8">
        <v>543</v>
      </c>
      <c r="G361" s="8">
        <v>27</v>
      </c>
      <c r="H361" s="8">
        <v>143</v>
      </c>
      <c r="I361" s="8" t="s">
        <v>661</v>
      </c>
      <c r="J361" s="8">
        <v>117</v>
      </c>
      <c r="K361" s="4" t="s">
        <v>1182</v>
      </c>
      <c r="L361" s="4" t="s">
        <v>583</v>
      </c>
      <c r="M361" s="4" t="s">
        <v>579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6" customHeight="1">
      <c r="A362" s="4" t="s">
        <v>1183</v>
      </c>
      <c r="B362" s="4" t="s">
        <v>403</v>
      </c>
      <c r="C362" s="4" t="s">
        <v>1184</v>
      </c>
      <c r="D362" s="9">
        <v>0.5554</v>
      </c>
      <c r="E362" s="8">
        <v>401</v>
      </c>
      <c r="F362" s="8">
        <v>543</v>
      </c>
      <c r="G362" s="8">
        <v>28</v>
      </c>
      <c r="H362" s="8">
        <v>143</v>
      </c>
      <c r="I362" s="8" t="s">
        <v>661</v>
      </c>
      <c r="J362" s="8">
        <v>117</v>
      </c>
      <c r="K362" s="4" t="s">
        <v>1182</v>
      </c>
      <c r="L362" s="4" t="s">
        <v>578</v>
      </c>
      <c r="M362" s="4" t="s">
        <v>579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6" customHeight="1">
      <c r="A363" s="4" t="s">
        <v>1185</v>
      </c>
      <c r="B363" s="4" t="s">
        <v>403</v>
      </c>
      <c r="C363" s="4" t="s">
        <v>1186</v>
      </c>
      <c r="D363" s="9">
        <v>0.58909999999999996</v>
      </c>
      <c r="E363" s="8">
        <v>465</v>
      </c>
      <c r="F363" s="8">
        <v>543</v>
      </c>
      <c r="G363" s="8">
        <v>27</v>
      </c>
      <c r="H363" s="8">
        <v>144</v>
      </c>
      <c r="I363" s="8" t="s">
        <v>661</v>
      </c>
      <c r="J363" s="8">
        <v>118</v>
      </c>
      <c r="K363" s="4" t="s">
        <v>1160</v>
      </c>
      <c r="L363" s="4" t="s">
        <v>583</v>
      </c>
      <c r="M363" s="4" t="s">
        <v>579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6" customHeight="1">
      <c r="A364" s="4" t="s">
        <v>1187</v>
      </c>
      <c r="B364" s="4" t="s">
        <v>403</v>
      </c>
      <c r="C364" s="4" t="s">
        <v>1188</v>
      </c>
      <c r="D364" s="9">
        <v>0.43390000000000001</v>
      </c>
      <c r="E364" s="8">
        <v>435</v>
      </c>
      <c r="F364" s="8">
        <v>545</v>
      </c>
      <c r="G364" s="8">
        <v>25</v>
      </c>
      <c r="H364" s="8">
        <v>142</v>
      </c>
      <c r="I364" s="8" t="s">
        <v>661</v>
      </c>
      <c r="J364" s="8">
        <v>116</v>
      </c>
      <c r="K364" s="4" t="s">
        <v>1189</v>
      </c>
      <c r="L364" s="4" t="s">
        <v>578</v>
      </c>
      <c r="M364" s="4" t="s">
        <v>579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6" customHeight="1">
      <c r="A365" s="4" t="s">
        <v>1190</v>
      </c>
      <c r="B365" s="4" t="s">
        <v>403</v>
      </c>
      <c r="C365" s="4" t="s">
        <v>1191</v>
      </c>
      <c r="D365" s="9">
        <v>0.40529999999999999</v>
      </c>
      <c r="E365" s="8">
        <v>436</v>
      </c>
      <c r="F365" s="8">
        <v>545</v>
      </c>
      <c r="G365" s="8">
        <v>23</v>
      </c>
      <c r="H365" s="8">
        <v>141</v>
      </c>
      <c r="I365" s="8" t="s">
        <v>661</v>
      </c>
      <c r="J365" s="8">
        <v>116</v>
      </c>
      <c r="K365" s="4" t="s">
        <v>1189</v>
      </c>
      <c r="L365" s="4" t="s">
        <v>583</v>
      </c>
      <c r="M365" s="4" t="s">
        <v>579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6" customHeight="1">
      <c r="A366" s="4" t="s">
        <v>1192</v>
      </c>
      <c r="B366" s="4" t="s">
        <v>403</v>
      </c>
      <c r="C366" s="4" t="s">
        <v>1193</v>
      </c>
      <c r="D366" s="9">
        <v>0.49559999999999998</v>
      </c>
      <c r="E366" s="8">
        <v>468</v>
      </c>
      <c r="F366" s="8">
        <v>545</v>
      </c>
      <c r="G366" s="8">
        <v>23</v>
      </c>
      <c r="H366" s="8">
        <v>142</v>
      </c>
      <c r="I366" s="8" t="s">
        <v>661</v>
      </c>
      <c r="J366" s="8">
        <v>116</v>
      </c>
      <c r="K366" s="4" t="s">
        <v>1160</v>
      </c>
      <c r="L366" s="4" t="s">
        <v>578</v>
      </c>
      <c r="M366" s="4" t="s">
        <v>579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6" customHeight="1">
      <c r="A367" s="4" t="s">
        <v>1194</v>
      </c>
      <c r="B367" s="4" t="s">
        <v>403</v>
      </c>
      <c r="C367" s="4" t="s">
        <v>153</v>
      </c>
      <c r="D367" s="9">
        <v>0.99670000000000003</v>
      </c>
      <c r="E367" s="8">
        <v>104</v>
      </c>
      <c r="F367" s="8">
        <v>547</v>
      </c>
      <c r="G367" s="8">
        <v>61</v>
      </c>
      <c r="H367" s="8">
        <v>25</v>
      </c>
      <c r="I367" s="8" t="s">
        <v>576</v>
      </c>
      <c r="J367" s="8">
        <v>20</v>
      </c>
      <c r="K367" s="4" t="s">
        <v>542</v>
      </c>
      <c r="L367" s="4" t="s">
        <v>583</v>
      </c>
      <c r="M367" s="4" t="s">
        <v>585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6" customHeight="1">
      <c r="A368" s="4" t="s">
        <v>1195</v>
      </c>
      <c r="B368" s="4" t="s">
        <v>403</v>
      </c>
      <c r="C368" s="4" t="s">
        <v>1196</v>
      </c>
      <c r="D368" s="9">
        <v>0.61309999999999998</v>
      </c>
      <c r="E368" s="8">
        <v>497</v>
      </c>
      <c r="F368" s="8">
        <v>561</v>
      </c>
      <c r="G368" s="8">
        <v>27</v>
      </c>
      <c r="H368" s="8">
        <v>108</v>
      </c>
      <c r="I368" s="8" t="s">
        <v>661</v>
      </c>
      <c r="J368" s="8">
        <v>89</v>
      </c>
      <c r="K368" s="4" t="s">
        <v>1197</v>
      </c>
      <c r="L368" s="4" t="s">
        <v>583</v>
      </c>
      <c r="M368" s="4" t="s">
        <v>579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6" customHeight="1">
      <c r="A369" s="4" t="s">
        <v>1198</v>
      </c>
      <c r="B369" s="4" t="s">
        <v>403</v>
      </c>
      <c r="C369" s="4" t="s">
        <v>1199</v>
      </c>
      <c r="D369" s="9">
        <v>0.50570000000000004</v>
      </c>
      <c r="E369" s="8">
        <v>527</v>
      </c>
      <c r="F369" s="8">
        <v>561</v>
      </c>
      <c r="G369" s="8">
        <v>31</v>
      </c>
      <c r="H369" s="8">
        <v>109</v>
      </c>
      <c r="I369" s="8" t="s">
        <v>661</v>
      </c>
      <c r="J369" s="8">
        <v>89</v>
      </c>
      <c r="K369" s="4" t="s">
        <v>1200</v>
      </c>
      <c r="L369" s="4" t="s">
        <v>578</v>
      </c>
      <c r="M369" s="4" t="s">
        <v>579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6" customHeight="1">
      <c r="A370" s="4" t="s">
        <v>1201</v>
      </c>
      <c r="B370" s="4" t="s">
        <v>403</v>
      </c>
      <c r="C370" s="4" t="s">
        <v>1202</v>
      </c>
      <c r="D370" s="9">
        <v>0.6371</v>
      </c>
      <c r="E370" s="8">
        <v>528</v>
      </c>
      <c r="F370" s="8">
        <v>561</v>
      </c>
      <c r="G370" s="8">
        <v>30</v>
      </c>
      <c r="H370" s="8">
        <v>109</v>
      </c>
      <c r="I370" s="8" t="s">
        <v>661</v>
      </c>
      <c r="J370" s="8">
        <v>89</v>
      </c>
      <c r="K370" s="4" t="s">
        <v>1203</v>
      </c>
      <c r="L370" s="4" t="s">
        <v>583</v>
      </c>
      <c r="M370" s="4" t="s">
        <v>579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6" customHeight="1">
      <c r="A371" s="4" t="s">
        <v>1204</v>
      </c>
      <c r="B371" s="4" t="s">
        <v>403</v>
      </c>
      <c r="C371" s="4" t="s">
        <v>1205</v>
      </c>
      <c r="D371" s="9">
        <v>0.53759999999999997</v>
      </c>
      <c r="E371" s="8">
        <v>498</v>
      </c>
      <c r="F371" s="8">
        <v>562</v>
      </c>
      <c r="G371" s="8">
        <v>26</v>
      </c>
      <c r="H371" s="8">
        <v>107</v>
      </c>
      <c r="I371" s="8" t="s">
        <v>661</v>
      </c>
      <c r="J371" s="8">
        <v>88</v>
      </c>
      <c r="K371" s="4" t="s">
        <v>1197</v>
      </c>
      <c r="L371" s="4" t="s">
        <v>578</v>
      </c>
      <c r="M371" s="4" t="s">
        <v>579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6" customHeight="1">
      <c r="A372" s="4" t="s">
        <v>1206</v>
      </c>
      <c r="B372" s="4" t="s">
        <v>403</v>
      </c>
      <c r="C372" s="4" t="s">
        <v>1207</v>
      </c>
      <c r="D372" s="9">
        <v>0.55879999999999996</v>
      </c>
      <c r="E372" s="8">
        <v>563</v>
      </c>
      <c r="F372" s="8">
        <v>562</v>
      </c>
      <c r="G372" s="8">
        <v>25</v>
      </c>
      <c r="H372" s="8">
        <v>107</v>
      </c>
      <c r="I372" s="8" t="s">
        <v>661</v>
      </c>
      <c r="J372" s="8">
        <v>88</v>
      </c>
      <c r="K372" s="4" t="s">
        <v>1208</v>
      </c>
      <c r="L372" s="4" t="s">
        <v>583</v>
      </c>
      <c r="M372" s="4" t="s">
        <v>579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6" customHeight="1">
      <c r="A373" s="4" t="s">
        <v>1209</v>
      </c>
      <c r="B373" s="4" t="s">
        <v>403</v>
      </c>
      <c r="C373" s="4" t="s">
        <v>1210</v>
      </c>
      <c r="D373" s="9">
        <v>0.88360000000000005</v>
      </c>
      <c r="E373" s="8">
        <v>306</v>
      </c>
      <c r="F373" s="8">
        <v>573</v>
      </c>
      <c r="G373" s="8">
        <v>27</v>
      </c>
      <c r="H373" s="8">
        <v>87</v>
      </c>
      <c r="I373" s="8" t="s">
        <v>661</v>
      </c>
      <c r="J373" s="8">
        <v>71</v>
      </c>
      <c r="K373" s="4" t="s">
        <v>558</v>
      </c>
      <c r="L373" s="4" t="s">
        <v>578</v>
      </c>
      <c r="M373" s="4" t="s">
        <v>579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6" customHeight="1">
      <c r="A374" s="4" t="s">
        <v>1211</v>
      </c>
      <c r="B374" s="4" t="s">
        <v>403</v>
      </c>
      <c r="C374" s="4" t="s">
        <v>1210</v>
      </c>
      <c r="D374" s="9">
        <v>0.7873</v>
      </c>
      <c r="E374" s="8">
        <v>369</v>
      </c>
      <c r="F374" s="8">
        <v>573</v>
      </c>
      <c r="G374" s="8">
        <v>28</v>
      </c>
      <c r="H374" s="8">
        <v>87</v>
      </c>
      <c r="I374" s="8" t="s">
        <v>661</v>
      </c>
      <c r="J374" s="8">
        <v>71</v>
      </c>
      <c r="K374" s="4" t="s">
        <v>1212</v>
      </c>
      <c r="L374" s="4" t="s">
        <v>578</v>
      </c>
      <c r="M374" s="4" t="s">
        <v>579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6" customHeight="1">
      <c r="A375" s="4" t="s">
        <v>1213</v>
      </c>
      <c r="B375" s="4" t="s">
        <v>403</v>
      </c>
      <c r="C375" s="4" t="s">
        <v>153</v>
      </c>
      <c r="D375" s="9">
        <v>0.99660000000000004</v>
      </c>
      <c r="E375" s="8">
        <v>103</v>
      </c>
      <c r="F375" s="8">
        <v>579</v>
      </c>
      <c r="G375" s="8">
        <v>61</v>
      </c>
      <c r="H375" s="8">
        <v>25</v>
      </c>
      <c r="I375" s="8" t="s">
        <v>576</v>
      </c>
      <c r="J375" s="8">
        <v>20</v>
      </c>
      <c r="K375" s="4" t="s">
        <v>537</v>
      </c>
      <c r="L375" s="4" t="s">
        <v>578</v>
      </c>
      <c r="M375" s="4" t="s">
        <v>585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6" customHeight="1">
      <c r="A376" s="4" t="s">
        <v>1214</v>
      </c>
      <c r="B376" s="4" t="s">
        <v>403</v>
      </c>
      <c r="C376" s="4" t="s">
        <v>153</v>
      </c>
      <c r="D376" s="9">
        <v>0.99729999999999996</v>
      </c>
      <c r="E376" s="8">
        <v>104</v>
      </c>
      <c r="F376" s="8">
        <v>610</v>
      </c>
      <c r="G376" s="8">
        <v>61</v>
      </c>
      <c r="H376" s="8">
        <v>25</v>
      </c>
      <c r="I376" s="8" t="s">
        <v>576</v>
      </c>
      <c r="J376" s="8">
        <v>20</v>
      </c>
      <c r="K376" s="4" t="s">
        <v>547</v>
      </c>
      <c r="L376" s="4" t="s">
        <v>583</v>
      </c>
      <c r="M376" s="4" t="s">
        <v>585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6" customHeight="1">
      <c r="A377" s="4" t="s">
        <v>1215</v>
      </c>
      <c r="B377" s="4" t="s">
        <v>403</v>
      </c>
      <c r="C377" s="4" t="s">
        <v>209</v>
      </c>
      <c r="D377" s="9">
        <v>0.99950000000000006</v>
      </c>
      <c r="E377" s="8">
        <v>45</v>
      </c>
      <c r="F377" s="8">
        <v>643</v>
      </c>
      <c r="G377" s="8">
        <v>178</v>
      </c>
      <c r="H377" s="8">
        <v>24</v>
      </c>
      <c r="I377" s="8" t="s">
        <v>576</v>
      </c>
      <c r="J377" s="8">
        <v>20</v>
      </c>
      <c r="K377" s="4" t="s">
        <v>548</v>
      </c>
      <c r="L377" s="4" t="s">
        <v>578</v>
      </c>
      <c r="M377" s="4" t="s">
        <v>585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6" customHeight="1">
      <c r="A378" s="4" t="s">
        <v>1216</v>
      </c>
      <c r="B378" s="4" t="s">
        <v>403</v>
      </c>
      <c r="C378" s="4" t="s">
        <v>209</v>
      </c>
      <c r="D378" s="9">
        <v>0.99890000000000001</v>
      </c>
      <c r="E378" s="8">
        <v>46</v>
      </c>
      <c r="F378" s="8">
        <v>675</v>
      </c>
      <c r="G378" s="8">
        <v>177</v>
      </c>
      <c r="H378" s="8">
        <v>23</v>
      </c>
      <c r="I378" s="8" t="s">
        <v>576</v>
      </c>
      <c r="J378" s="8">
        <v>19</v>
      </c>
      <c r="K378" s="4" t="s">
        <v>537</v>
      </c>
      <c r="L378" s="4" t="s">
        <v>583</v>
      </c>
      <c r="M378" s="4" t="s">
        <v>585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6" customHeight="1">
      <c r="A379" s="4" t="s">
        <v>1217</v>
      </c>
      <c r="B379" s="4" t="s">
        <v>403</v>
      </c>
      <c r="C379" s="4" t="s">
        <v>209</v>
      </c>
      <c r="D379" s="9">
        <v>0.99839999999999995</v>
      </c>
      <c r="E379" s="8">
        <v>45</v>
      </c>
      <c r="F379" s="8">
        <v>707</v>
      </c>
      <c r="G379" s="8">
        <v>177</v>
      </c>
      <c r="H379" s="8">
        <v>23</v>
      </c>
      <c r="I379" s="8" t="s">
        <v>576</v>
      </c>
      <c r="J379" s="8">
        <v>19</v>
      </c>
      <c r="K379" s="4" t="s">
        <v>771</v>
      </c>
      <c r="L379" s="4" t="s">
        <v>578</v>
      </c>
      <c r="M379" s="4" t="s">
        <v>585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6" customHeight="1">
      <c r="A380" s="4" t="s">
        <v>1218</v>
      </c>
      <c r="B380" s="4" t="s">
        <v>413</v>
      </c>
      <c r="C380" s="4" t="s">
        <v>1219</v>
      </c>
      <c r="D380" s="9">
        <v>0.93710000000000004</v>
      </c>
      <c r="E380" s="8">
        <v>291</v>
      </c>
      <c r="F380" s="8">
        <v>19</v>
      </c>
      <c r="G380" s="8">
        <v>429</v>
      </c>
      <c r="H380" s="8">
        <v>23</v>
      </c>
      <c r="I380" s="8" t="s">
        <v>576</v>
      </c>
      <c r="J380" s="8">
        <v>19</v>
      </c>
      <c r="K380" s="4" t="s">
        <v>550</v>
      </c>
      <c r="L380" s="4" t="s">
        <v>583</v>
      </c>
      <c r="M380" s="4" t="s">
        <v>585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6" customHeight="1">
      <c r="A381" s="4" t="s">
        <v>1220</v>
      </c>
      <c r="B381" s="4" t="s">
        <v>413</v>
      </c>
      <c r="C381" s="4" t="s">
        <v>1221</v>
      </c>
      <c r="D381" s="9">
        <v>0.86819999999999997</v>
      </c>
      <c r="E381" s="8">
        <v>293</v>
      </c>
      <c r="F381" s="8">
        <v>36</v>
      </c>
      <c r="G381" s="8">
        <v>380</v>
      </c>
      <c r="H381" s="8">
        <v>29</v>
      </c>
      <c r="I381" s="8" t="s">
        <v>576</v>
      </c>
      <c r="J381" s="8">
        <v>24</v>
      </c>
      <c r="K381" s="4" t="s">
        <v>551</v>
      </c>
      <c r="L381" s="4" t="s">
        <v>583</v>
      </c>
      <c r="M381" s="4" t="s">
        <v>579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6" customHeight="1">
      <c r="A382" s="4" t="s">
        <v>1222</v>
      </c>
      <c r="B382" s="4" t="s">
        <v>413</v>
      </c>
      <c r="C382" s="4" t="s">
        <v>1223</v>
      </c>
      <c r="D382" s="9">
        <v>0.55389999999999995</v>
      </c>
      <c r="E382" s="8">
        <v>690</v>
      </c>
      <c r="F382" s="8">
        <v>39</v>
      </c>
      <c r="G382" s="8">
        <v>29</v>
      </c>
      <c r="H382" s="8">
        <v>141</v>
      </c>
      <c r="I382" s="8" t="s">
        <v>661</v>
      </c>
      <c r="J382" s="8">
        <v>116</v>
      </c>
      <c r="K382" s="4" t="s">
        <v>1224</v>
      </c>
      <c r="L382" s="4" t="s">
        <v>578</v>
      </c>
      <c r="M382" s="4" t="s">
        <v>579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6" customHeight="1">
      <c r="A383" s="4" t="s">
        <v>1225</v>
      </c>
      <c r="B383" s="4" t="s">
        <v>413</v>
      </c>
      <c r="C383" s="4" t="s">
        <v>1226</v>
      </c>
      <c r="D383" s="9">
        <v>0.86099999999999999</v>
      </c>
      <c r="E383" s="8">
        <v>293</v>
      </c>
      <c r="F383" s="8">
        <v>40</v>
      </c>
      <c r="G383" s="8">
        <v>391</v>
      </c>
      <c r="H383" s="8">
        <v>21</v>
      </c>
      <c r="I383" s="8" t="s">
        <v>576</v>
      </c>
      <c r="J383" s="8">
        <v>17</v>
      </c>
      <c r="K383" s="4" t="s">
        <v>551</v>
      </c>
      <c r="L383" s="4" t="s">
        <v>578</v>
      </c>
      <c r="M383" s="4" t="s">
        <v>579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6" customHeight="1">
      <c r="A384" s="4" t="s">
        <v>1227</v>
      </c>
      <c r="B384" s="4" t="s">
        <v>413</v>
      </c>
      <c r="C384" s="4" t="s">
        <v>1076</v>
      </c>
      <c r="D384" s="9">
        <v>0.66069999999999995</v>
      </c>
      <c r="E384" s="8">
        <v>691</v>
      </c>
      <c r="F384" s="8">
        <v>40</v>
      </c>
      <c r="G384" s="8">
        <v>27</v>
      </c>
      <c r="H384" s="8">
        <v>140</v>
      </c>
      <c r="I384" s="8" t="s">
        <v>661</v>
      </c>
      <c r="J384" s="8">
        <v>115</v>
      </c>
      <c r="K384" s="4" t="s">
        <v>1224</v>
      </c>
      <c r="L384" s="4" t="s">
        <v>583</v>
      </c>
      <c r="M384" s="4" t="s">
        <v>579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6" customHeight="1">
      <c r="A385" s="4" t="s">
        <v>1228</v>
      </c>
      <c r="B385" s="4" t="s">
        <v>413</v>
      </c>
      <c r="C385" s="4" t="s">
        <v>430</v>
      </c>
      <c r="D385" s="9">
        <v>0.99819999999999998</v>
      </c>
      <c r="E385" s="8">
        <v>0</v>
      </c>
      <c r="F385" s="8">
        <v>45</v>
      </c>
      <c r="G385" s="8">
        <v>294</v>
      </c>
      <c r="H385" s="8">
        <v>37</v>
      </c>
      <c r="I385" s="8" t="s">
        <v>576</v>
      </c>
      <c r="J385" s="8">
        <v>30</v>
      </c>
      <c r="K385" s="4" t="s">
        <v>549</v>
      </c>
      <c r="L385" s="4" t="s">
        <v>578</v>
      </c>
      <c r="M385" s="4" t="s">
        <v>585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6" customHeight="1">
      <c r="A386" s="4" t="s">
        <v>1229</v>
      </c>
      <c r="B386" s="4" t="s">
        <v>413</v>
      </c>
      <c r="C386" s="4" t="s">
        <v>1230</v>
      </c>
      <c r="D386" s="9">
        <v>0.78690000000000004</v>
      </c>
      <c r="E386" s="8">
        <v>551</v>
      </c>
      <c r="F386" s="8">
        <v>58</v>
      </c>
      <c r="G386" s="8">
        <v>121</v>
      </c>
      <c r="H386" s="8">
        <v>27</v>
      </c>
      <c r="I386" s="8" t="s">
        <v>576</v>
      </c>
      <c r="J386" s="8">
        <v>22</v>
      </c>
      <c r="K386" s="4" t="s">
        <v>552</v>
      </c>
      <c r="L386" s="4" t="s">
        <v>583</v>
      </c>
      <c r="M386" s="4" t="s">
        <v>579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6" customHeight="1">
      <c r="A387" s="4" t="s">
        <v>1231</v>
      </c>
      <c r="B387" s="4" t="s">
        <v>413</v>
      </c>
      <c r="C387" s="4" t="s">
        <v>1232</v>
      </c>
      <c r="D387" s="9">
        <v>0.82830000000000004</v>
      </c>
      <c r="E387" s="8">
        <v>626</v>
      </c>
      <c r="F387" s="8">
        <v>59</v>
      </c>
      <c r="G387" s="8">
        <v>59</v>
      </c>
      <c r="H387" s="8">
        <v>23</v>
      </c>
      <c r="I387" s="8" t="s">
        <v>576</v>
      </c>
      <c r="J387" s="8">
        <v>19</v>
      </c>
      <c r="K387" s="4" t="s">
        <v>474</v>
      </c>
      <c r="L387" s="4" t="s">
        <v>578</v>
      </c>
      <c r="M387" s="4" t="s">
        <v>579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6" customHeight="1">
      <c r="A388" s="4" t="s">
        <v>1233</v>
      </c>
      <c r="B388" s="4" t="s">
        <v>413</v>
      </c>
      <c r="C388" s="4" t="s">
        <v>418</v>
      </c>
      <c r="D388" s="9">
        <v>0.93259999999999998</v>
      </c>
      <c r="E388" s="8">
        <v>293</v>
      </c>
      <c r="F388" s="8">
        <v>61</v>
      </c>
      <c r="G388" s="8">
        <v>247</v>
      </c>
      <c r="H388" s="8">
        <v>19</v>
      </c>
      <c r="I388" s="8" t="s">
        <v>576</v>
      </c>
      <c r="J388" s="8">
        <v>16</v>
      </c>
      <c r="K388" s="4" t="s">
        <v>466</v>
      </c>
      <c r="L388" s="4" t="s">
        <v>583</v>
      </c>
      <c r="M388" s="4" t="s">
        <v>585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6" customHeight="1">
      <c r="A389" s="4" t="s">
        <v>1234</v>
      </c>
      <c r="B389" s="4" t="s">
        <v>413</v>
      </c>
      <c r="C389" s="4" t="s">
        <v>1235</v>
      </c>
      <c r="D389" s="9">
        <v>0.9637</v>
      </c>
      <c r="E389" s="8">
        <v>294</v>
      </c>
      <c r="F389" s="8">
        <v>61</v>
      </c>
      <c r="G389" s="8">
        <v>249</v>
      </c>
      <c r="H389" s="8">
        <v>20</v>
      </c>
      <c r="I389" s="8" t="s">
        <v>576</v>
      </c>
      <c r="J389" s="8">
        <v>16</v>
      </c>
      <c r="K389" s="4" t="s">
        <v>534</v>
      </c>
      <c r="L389" s="4" t="s">
        <v>578</v>
      </c>
      <c r="M389" s="4" t="s">
        <v>585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6" customHeight="1">
      <c r="A390" s="4" t="s">
        <v>1236</v>
      </c>
      <c r="B390" s="4" t="s">
        <v>413</v>
      </c>
      <c r="C390" s="4" t="s">
        <v>1237</v>
      </c>
      <c r="D390" s="9">
        <v>0.75980000000000003</v>
      </c>
      <c r="E390" s="8">
        <v>72</v>
      </c>
      <c r="F390" s="8">
        <v>76</v>
      </c>
      <c r="G390" s="8">
        <v>25</v>
      </c>
      <c r="H390" s="8">
        <v>74</v>
      </c>
      <c r="I390" s="8" t="s">
        <v>661</v>
      </c>
      <c r="J390" s="8">
        <v>61</v>
      </c>
      <c r="K390" s="4" t="s">
        <v>555</v>
      </c>
      <c r="L390" s="4" t="s">
        <v>578</v>
      </c>
      <c r="M390" s="4" t="s">
        <v>579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6" customHeight="1">
      <c r="A391" s="4" t="s">
        <v>1238</v>
      </c>
      <c r="B391" s="4" t="s">
        <v>413</v>
      </c>
      <c r="C391" s="4" t="s">
        <v>1239</v>
      </c>
      <c r="D391" s="9">
        <v>0.77110000000000001</v>
      </c>
      <c r="E391" s="8">
        <v>75</v>
      </c>
      <c r="F391" s="8">
        <v>77</v>
      </c>
      <c r="G391" s="8">
        <v>21</v>
      </c>
      <c r="H391" s="8">
        <v>71</v>
      </c>
      <c r="I391" s="8" t="s">
        <v>661</v>
      </c>
      <c r="J391" s="8">
        <v>58</v>
      </c>
      <c r="K391" s="4" t="s">
        <v>555</v>
      </c>
      <c r="L391" s="4" t="s">
        <v>583</v>
      </c>
      <c r="M391" s="4" t="s">
        <v>579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6" customHeight="1">
      <c r="A392" s="4" t="s">
        <v>1240</v>
      </c>
      <c r="B392" s="4" t="s">
        <v>413</v>
      </c>
      <c r="C392" s="4" t="s">
        <v>1241</v>
      </c>
      <c r="D392" s="9">
        <v>0.52810000000000001</v>
      </c>
      <c r="E392" s="8">
        <v>167</v>
      </c>
      <c r="F392" s="8">
        <v>77</v>
      </c>
      <c r="G392" s="8">
        <v>25</v>
      </c>
      <c r="H392" s="8">
        <v>127</v>
      </c>
      <c r="I392" s="8" t="s">
        <v>661</v>
      </c>
      <c r="J392" s="8">
        <v>104</v>
      </c>
      <c r="K392" s="4" t="s">
        <v>1242</v>
      </c>
      <c r="L392" s="4" t="s">
        <v>578</v>
      </c>
      <c r="M392" s="4" t="s">
        <v>579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6" customHeight="1">
      <c r="A393" s="4" t="s">
        <v>1243</v>
      </c>
      <c r="B393" s="4" t="s">
        <v>413</v>
      </c>
      <c r="C393" s="4" t="s">
        <v>1244</v>
      </c>
      <c r="D393" s="9">
        <v>0.64180000000000004</v>
      </c>
      <c r="E393" s="8">
        <v>589</v>
      </c>
      <c r="F393" s="8">
        <v>77</v>
      </c>
      <c r="G393" s="8">
        <v>45</v>
      </c>
      <c r="H393" s="8">
        <v>29</v>
      </c>
      <c r="I393" s="8" t="s">
        <v>576</v>
      </c>
      <c r="J393" s="8">
        <v>24</v>
      </c>
      <c r="K393" s="4" t="s">
        <v>552</v>
      </c>
      <c r="L393" s="4" t="s">
        <v>583</v>
      </c>
      <c r="M393" s="4" t="s">
        <v>579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6" customHeight="1">
      <c r="A394" s="4" t="s">
        <v>1245</v>
      </c>
      <c r="B394" s="4" t="s">
        <v>413</v>
      </c>
      <c r="C394" s="4" t="s">
        <v>1246</v>
      </c>
      <c r="D394" s="9">
        <v>0.48780000000000001</v>
      </c>
      <c r="E394" s="8">
        <v>591</v>
      </c>
      <c r="F394" s="8">
        <v>77</v>
      </c>
      <c r="G394" s="8">
        <v>25</v>
      </c>
      <c r="H394" s="8">
        <v>128</v>
      </c>
      <c r="I394" s="8" t="s">
        <v>661</v>
      </c>
      <c r="J394" s="8">
        <v>105</v>
      </c>
      <c r="K394" s="4" t="s">
        <v>552</v>
      </c>
      <c r="L394" s="4" t="s">
        <v>578</v>
      </c>
      <c r="M394" s="4" t="s">
        <v>579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6" customHeight="1">
      <c r="A395" s="4" t="s">
        <v>1247</v>
      </c>
      <c r="B395" s="4" t="s">
        <v>413</v>
      </c>
      <c r="C395" s="4" t="s">
        <v>1248</v>
      </c>
      <c r="D395" s="9">
        <v>0.43280000000000002</v>
      </c>
      <c r="E395" s="8">
        <v>167</v>
      </c>
      <c r="F395" s="8">
        <v>78</v>
      </c>
      <c r="G395" s="8">
        <v>25</v>
      </c>
      <c r="H395" s="8">
        <v>123</v>
      </c>
      <c r="I395" s="8" t="s">
        <v>661</v>
      </c>
      <c r="J395" s="8">
        <v>101</v>
      </c>
      <c r="K395" s="4" t="s">
        <v>1242</v>
      </c>
      <c r="L395" s="4" t="s">
        <v>583</v>
      </c>
      <c r="M395" s="4" t="s">
        <v>579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6" customHeight="1">
      <c r="A396" s="4" t="s">
        <v>1249</v>
      </c>
      <c r="B396" s="4" t="s">
        <v>413</v>
      </c>
      <c r="C396" s="4" t="s">
        <v>1250</v>
      </c>
      <c r="D396" s="9">
        <v>0.98740000000000006</v>
      </c>
      <c r="E396" s="8">
        <v>184</v>
      </c>
      <c r="F396" s="8">
        <v>78</v>
      </c>
      <c r="G396" s="8">
        <v>109</v>
      </c>
      <c r="H396" s="8">
        <v>23</v>
      </c>
      <c r="I396" s="8" t="s">
        <v>576</v>
      </c>
      <c r="J396" s="8">
        <v>19</v>
      </c>
      <c r="K396" s="4" t="s">
        <v>551</v>
      </c>
      <c r="L396" s="4" t="s">
        <v>583</v>
      </c>
      <c r="M396" s="4" t="s">
        <v>585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6" customHeight="1">
      <c r="A397" s="4" t="s">
        <v>1251</v>
      </c>
      <c r="B397" s="4" t="s">
        <v>413</v>
      </c>
      <c r="C397" s="4" t="s">
        <v>1252</v>
      </c>
      <c r="D397" s="9">
        <v>0.66690000000000005</v>
      </c>
      <c r="E397" s="8">
        <v>552</v>
      </c>
      <c r="F397" s="8">
        <v>78</v>
      </c>
      <c r="G397" s="8">
        <v>45</v>
      </c>
      <c r="H397" s="8">
        <v>27</v>
      </c>
      <c r="I397" s="8" t="s">
        <v>576</v>
      </c>
      <c r="J397" s="8">
        <v>22</v>
      </c>
      <c r="K397" s="4" t="s">
        <v>1253</v>
      </c>
      <c r="L397" s="4" t="s">
        <v>583</v>
      </c>
      <c r="M397" s="4" t="s">
        <v>579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6" customHeight="1">
      <c r="A398" s="4" t="s">
        <v>1254</v>
      </c>
      <c r="B398" s="4" t="s">
        <v>413</v>
      </c>
      <c r="C398" s="4" t="s">
        <v>1255</v>
      </c>
      <c r="D398" s="9">
        <v>0.41849999999999998</v>
      </c>
      <c r="E398" s="8">
        <v>553</v>
      </c>
      <c r="F398" s="8">
        <v>78</v>
      </c>
      <c r="G398" s="8">
        <v>23</v>
      </c>
      <c r="H398" s="8">
        <v>127</v>
      </c>
      <c r="I398" s="8" t="s">
        <v>661</v>
      </c>
      <c r="J398" s="8">
        <v>104</v>
      </c>
      <c r="K398" s="4" t="s">
        <v>552</v>
      </c>
      <c r="L398" s="4" t="s">
        <v>578</v>
      </c>
      <c r="M398" s="4" t="s">
        <v>579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6" customHeight="1">
      <c r="A399" s="4" t="s">
        <v>1256</v>
      </c>
      <c r="B399" s="4" t="s">
        <v>413</v>
      </c>
      <c r="C399" s="4" t="s">
        <v>1257</v>
      </c>
      <c r="D399" s="9">
        <v>0.79630000000000001</v>
      </c>
      <c r="E399" s="8">
        <v>571</v>
      </c>
      <c r="F399" s="8">
        <v>78</v>
      </c>
      <c r="G399" s="8">
        <v>24</v>
      </c>
      <c r="H399" s="8">
        <v>127</v>
      </c>
      <c r="I399" s="8" t="s">
        <v>661</v>
      </c>
      <c r="J399" s="8">
        <v>104</v>
      </c>
      <c r="K399" s="4" t="s">
        <v>1253</v>
      </c>
      <c r="L399" s="4" t="s">
        <v>578</v>
      </c>
      <c r="M399" s="4" t="s">
        <v>579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6" customHeight="1">
      <c r="A400" s="4" t="s">
        <v>1258</v>
      </c>
      <c r="B400" s="4" t="s">
        <v>413</v>
      </c>
      <c r="C400" s="4" t="s">
        <v>1259</v>
      </c>
      <c r="D400" s="9">
        <v>0.94310000000000005</v>
      </c>
      <c r="E400" s="8">
        <v>293</v>
      </c>
      <c r="F400" s="8">
        <v>79</v>
      </c>
      <c r="G400" s="8">
        <v>219</v>
      </c>
      <c r="H400" s="8">
        <v>22</v>
      </c>
      <c r="I400" s="8" t="s">
        <v>576</v>
      </c>
      <c r="J400" s="8">
        <v>18</v>
      </c>
      <c r="K400" s="4" t="s">
        <v>552</v>
      </c>
      <c r="L400" s="4" t="s">
        <v>578</v>
      </c>
      <c r="M400" s="4" t="s">
        <v>585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6" customHeight="1">
      <c r="A401" s="4" t="s">
        <v>1260</v>
      </c>
      <c r="B401" s="4" t="s">
        <v>413</v>
      </c>
      <c r="C401" s="4" t="s">
        <v>1261</v>
      </c>
      <c r="D401" s="9">
        <v>0.81589999999999996</v>
      </c>
      <c r="E401" s="8">
        <v>667</v>
      </c>
      <c r="F401" s="8">
        <v>79</v>
      </c>
      <c r="G401" s="8">
        <v>19</v>
      </c>
      <c r="H401" s="8">
        <v>23</v>
      </c>
      <c r="I401" s="8" t="s">
        <v>576</v>
      </c>
      <c r="J401" s="8">
        <v>19</v>
      </c>
      <c r="K401" s="4" t="s">
        <v>474</v>
      </c>
      <c r="L401" s="4" t="s">
        <v>578</v>
      </c>
      <c r="M401" s="4" t="s">
        <v>579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6" customHeight="1">
      <c r="A402" s="4" t="s">
        <v>1262</v>
      </c>
      <c r="B402" s="4" t="s">
        <v>413</v>
      </c>
      <c r="C402" s="4" t="s">
        <v>1263</v>
      </c>
      <c r="D402" s="9">
        <v>0.94730000000000003</v>
      </c>
      <c r="E402" s="8">
        <v>294</v>
      </c>
      <c r="F402" s="8">
        <v>81</v>
      </c>
      <c r="G402" s="8">
        <v>218</v>
      </c>
      <c r="H402" s="8">
        <v>20</v>
      </c>
      <c r="I402" s="8" t="s">
        <v>576</v>
      </c>
      <c r="J402" s="8">
        <v>16</v>
      </c>
      <c r="K402" s="4" t="s">
        <v>474</v>
      </c>
      <c r="L402" s="4" t="s">
        <v>583</v>
      </c>
      <c r="M402" s="4" t="s">
        <v>585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6" customHeight="1">
      <c r="A403" s="4" t="s">
        <v>1264</v>
      </c>
      <c r="B403" s="4" t="s">
        <v>413</v>
      </c>
      <c r="C403" s="4" t="s">
        <v>432</v>
      </c>
      <c r="D403" s="9">
        <v>0.94410000000000005</v>
      </c>
      <c r="E403" s="8">
        <v>4</v>
      </c>
      <c r="F403" s="8">
        <v>83</v>
      </c>
      <c r="G403" s="8">
        <v>27</v>
      </c>
      <c r="H403" s="8">
        <v>59</v>
      </c>
      <c r="I403" s="8" t="s">
        <v>661</v>
      </c>
      <c r="J403" s="8">
        <v>48</v>
      </c>
      <c r="K403" s="4" t="s">
        <v>553</v>
      </c>
      <c r="L403" s="4" t="s">
        <v>583</v>
      </c>
      <c r="M403" s="4" t="s">
        <v>585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6" customHeight="1">
      <c r="A404" s="4" t="s">
        <v>1265</v>
      </c>
      <c r="B404" s="4" t="s">
        <v>413</v>
      </c>
      <c r="C404" s="4" t="s">
        <v>1266</v>
      </c>
      <c r="D404" s="9">
        <v>0.86429999999999996</v>
      </c>
      <c r="E404" s="8">
        <v>141</v>
      </c>
      <c r="F404" s="8">
        <v>87</v>
      </c>
      <c r="G404" s="8">
        <v>22</v>
      </c>
      <c r="H404" s="8">
        <v>51</v>
      </c>
      <c r="I404" s="8" t="s">
        <v>661</v>
      </c>
      <c r="J404" s="8">
        <v>42</v>
      </c>
      <c r="K404" s="4" t="s">
        <v>554</v>
      </c>
      <c r="L404" s="4" t="s">
        <v>583</v>
      </c>
      <c r="M404" s="4" t="s">
        <v>579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6" customHeight="1">
      <c r="A405" s="4" t="s">
        <v>1267</v>
      </c>
      <c r="B405" s="4" t="s">
        <v>413</v>
      </c>
      <c r="C405" s="4" t="s">
        <v>438</v>
      </c>
      <c r="D405" s="9">
        <v>0.89059999999999995</v>
      </c>
      <c r="E405" s="8">
        <v>108</v>
      </c>
      <c r="F405" s="8">
        <v>93</v>
      </c>
      <c r="G405" s="8">
        <v>20</v>
      </c>
      <c r="H405" s="8">
        <v>39</v>
      </c>
      <c r="I405" s="8" t="s">
        <v>661</v>
      </c>
      <c r="J405" s="8">
        <v>32</v>
      </c>
      <c r="K405" s="4" t="s">
        <v>554</v>
      </c>
      <c r="L405" s="4" t="s">
        <v>583</v>
      </c>
      <c r="M405" s="4" t="s">
        <v>579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6" customHeight="1">
      <c r="A406" s="4" t="s">
        <v>1268</v>
      </c>
      <c r="B406" s="4" t="s">
        <v>413</v>
      </c>
      <c r="C406" s="4" t="s">
        <v>434</v>
      </c>
      <c r="D406" s="9">
        <v>0.95599999999999996</v>
      </c>
      <c r="E406" s="8">
        <v>39</v>
      </c>
      <c r="F406" s="8">
        <v>94</v>
      </c>
      <c r="G406" s="8">
        <v>21</v>
      </c>
      <c r="H406" s="8">
        <v>39</v>
      </c>
      <c r="I406" s="8" t="s">
        <v>661</v>
      </c>
      <c r="J406" s="8">
        <v>32</v>
      </c>
      <c r="K406" s="4" t="s">
        <v>554</v>
      </c>
      <c r="L406" s="4" t="s">
        <v>578</v>
      </c>
      <c r="M406" s="4" t="s">
        <v>585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6" customHeight="1">
      <c r="A407" s="4" t="s">
        <v>1269</v>
      </c>
      <c r="B407" s="4" t="s">
        <v>413</v>
      </c>
      <c r="C407" s="4" t="s">
        <v>1270</v>
      </c>
      <c r="D407" s="9">
        <v>0.61470000000000002</v>
      </c>
      <c r="E407" s="8">
        <v>227</v>
      </c>
      <c r="F407" s="8">
        <v>95</v>
      </c>
      <c r="G407" s="8">
        <v>59</v>
      </c>
      <c r="H407" s="8">
        <v>27</v>
      </c>
      <c r="I407" s="8" t="s">
        <v>576</v>
      </c>
      <c r="J407" s="8">
        <v>22</v>
      </c>
      <c r="K407" s="4" t="s">
        <v>552</v>
      </c>
      <c r="L407" s="4" t="s">
        <v>578</v>
      </c>
      <c r="M407" s="4" t="s">
        <v>579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6" customHeight="1">
      <c r="A408" s="4" t="s">
        <v>1271</v>
      </c>
      <c r="B408" s="4" t="s">
        <v>413</v>
      </c>
      <c r="C408" s="4" t="s">
        <v>1272</v>
      </c>
      <c r="D408" s="9">
        <v>0.38519999999999999</v>
      </c>
      <c r="E408" s="8">
        <v>666</v>
      </c>
      <c r="F408" s="8">
        <v>96</v>
      </c>
      <c r="G408" s="8">
        <v>24</v>
      </c>
      <c r="H408" s="8">
        <v>82</v>
      </c>
      <c r="I408" s="8" t="s">
        <v>661</v>
      </c>
      <c r="J408" s="8">
        <v>67</v>
      </c>
      <c r="K408" s="4" t="s">
        <v>1273</v>
      </c>
      <c r="L408" s="4" t="s">
        <v>578</v>
      </c>
      <c r="M408" s="4" t="s">
        <v>579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6" customHeight="1">
      <c r="A409" s="4" t="s">
        <v>1274</v>
      </c>
      <c r="B409" s="4" t="s">
        <v>413</v>
      </c>
      <c r="C409" s="4" t="s">
        <v>1275</v>
      </c>
      <c r="D409" s="9">
        <v>0.66859999999999997</v>
      </c>
      <c r="E409" s="8">
        <v>187</v>
      </c>
      <c r="F409" s="8">
        <v>97</v>
      </c>
      <c r="G409" s="8">
        <v>47</v>
      </c>
      <c r="H409" s="8">
        <v>25</v>
      </c>
      <c r="I409" s="8" t="s">
        <v>576</v>
      </c>
      <c r="J409" s="8">
        <v>20</v>
      </c>
      <c r="K409" s="4" t="s">
        <v>552</v>
      </c>
      <c r="L409" s="4" t="s">
        <v>583</v>
      </c>
      <c r="M409" s="4" t="s">
        <v>579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6" customHeight="1">
      <c r="A410" s="4" t="s">
        <v>1276</v>
      </c>
      <c r="B410" s="4" t="s">
        <v>413</v>
      </c>
      <c r="C410" s="4" t="s">
        <v>1277</v>
      </c>
      <c r="D410" s="9">
        <v>0.65069999999999995</v>
      </c>
      <c r="E410" s="8">
        <v>222</v>
      </c>
      <c r="F410" s="8">
        <v>97</v>
      </c>
      <c r="G410" s="8">
        <v>65</v>
      </c>
      <c r="H410" s="8">
        <v>23</v>
      </c>
      <c r="I410" s="8" t="s">
        <v>576</v>
      </c>
      <c r="J410" s="8">
        <v>19</v>
      </c>
      <c r="K410" s="4" t="s">
        <v>552</v>
      </c>
      <c r="L410" s="4" t="s">
        <v>583</v>
      </c>
      <c r="M410" s="4" t="s">
        <v>579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6" customHeight="1">
      <c r="A411" s="4" t="s">
        <v>1278</v>
      </c>
      <c r="B411" s="4" t="s">
        <v>413</v>
      </c>
      <c r="C411" s="4" t="s">
        <v>1279</v>
      </c>
      <c r="D411" s="9">
        <v>0.50980000000000003</v>
      </c>
      <c r="E411" s="8">
        <v>550</v>
      </c>
      <c r="F411" s="8">
        <v>98</v>
      </c>
      <c r="G411" s="8">
        <v>27</v>
      </c>
      <c r="H411" s="8">
        <v>107</v>
      </c>
      <c r="I411" s="8" t="s">
        <v>661</v>
      </c>
      <c r="J411" s="8">
        <v>88</v>
      </c>
      <c r="K411" s="4" t="s">
        <v>552</v>
      </c>
      <c r="L411" s="4" t="s">
        <v>583</v>
      </c>
      <c r="M411" s="4" t="s">
        <v>579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6" customHeight="1">
      <c r="A412" s="4" t="s">
        <v>1280</v>
      </c>
      <c r="B412" s="4" t="s">
        <v>413</v>
      </c>
      <c r="C412" s="4" t="s">
        <v>1281</v>
      </c>
      <c r="D412" s="9">
        <v>0.89490000000000003</v>
      </c>
      <c r="E412" s="8">
        <v>626</v>
      </c>
      <c r="F412" s="8">
        <v>98</v>
      </c>
      <c r="G412" s="8">
        <v>29</v>
      </c>
      <c r="H412" s="8">
        <v>67</v>
      </c>
      <c r="I412" s="8" t="s">
        <v>661</v>
      </c>
      <c r="J412" s="8">
        <v>55</v>
      </c>
      <c r="K412" s="4" t="s">
        <v>474</v>
      </c>
      <c r="L412" s="4" t="s">
        <v>583</v>
      </c>
      <c r="M412" s="4" t="s">
        <v>579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6" customHeight="1">
      <c r="A413" s="4" t="s">
        <v>1282</v>
      </c>
      <c r="B413" s="4" t="s">
        <v>413</v>
      </c>
      <c r="C413" s="4" t="s">
        <v>1283</v>
      </c>
      <c r="D413" s="9">
        <v>0.91600000000000004</v>
      </c>
      <c r="E413" s="8">
        <v>572</v>
      </c>
      <c r="F413" s="8">
        <v>99</v>
      </c>
      <c r="G413" s="8">
        <v>23</v>
      </c>
      <c r="H413" s="8">
        <v>105</v>
      </c>
      <c r="I413" s="8" t="s">
        <v>661</v>
      </c>
      <c r="J413" s="8">
        <v>86</v>
      </c>
      <c r="K413" s="4" t="s">
        <v>1253</v>
      </c>
      <c r="L413" s="4" t="s">
        <v>583</v>
      </c>
      <c r="M413" s="4" t="s">
        <v>585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6" customHeight="1">
      <c r="A414" s="4" t="s">
        <v>1284</v>
      </c>
      <c r="B414" s="4" t="s">
        <v>413</v>
      </c>
      <c r="C414" s="4" t="s">
        <v>1285</v>
      </c>
      <c r="D414" s="9">
        <v>0.999</v>
      </c>
      <c r="E414" s="8">
        <v>293</v>
      </c>
      <c r="F414" s="8">
        <v>100</v>
      </c>
      <c r="G414" s="8">
        <v>220</v>
      </c>
      <c r="H414" s="8">
        <v>21</v>
      </c>
      <c r="I414" s="8" t="s">
        <v>576</v>
      </c>
      <c r="J414" s="8">
        <v>17</v>
      </c>
      <c r="K414" s="4" t="s">
        <v>552</v>
      </c>
      <c r="L414" s="4" t="s">
        <v>583</v>
      </c>
      <c r="M414" s="4" t="s">
        <v>585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6" customHeight="1">
      <c r="A415" s="4" t="s">
        <v>1286</v>
      </c>
      <c r="B415" s="4" t="s">
        <v>413</v>
      </c>
      <c r="C415" s="4" t="s">
        <v>1287</v>
      </c>
      <c r="D415" s="9">
        <v>0.53459999999999996</v>
      </c>
      <c r="E415" s="8">
        <v>187</v>
      </c>
      <c r="F415" s="8">
        <v>114</v>
      </c>
      <c r="G415" s="8">
        <v>28</v>
      </c>
      <c r="H415" s="8">
        <v>83</v>
      </c>
      <c r="I415" s="8" t="s">
        <v>661</v>
      </c>
      <c r="J415" s="8">
        <v>68</v>
      </c>
      <c r="K415" s="4" t="s">
        <v>552</v>
      </c>
      <c r="L415" s="4" t="s">
        <v>578</v>
      </c>
      <c r="M415" s="4" t="s">
        <v>579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6" customHeight="1">
      <c r="A416" s="4" t="s">
        <v>1288</v>
      </c>
      <c r="B416" s="4" t="s">
        <v>413</v>
      </c>
      <c r="C416" s="4" t="s">
        <v>1289</v>
      </c>
      <c r="D416" s="9">
        <v>0.61329999999999996</v>
      </c>
      <c r="E416" s="8">
        <v>225</v>
      </c>
      <c r="F416" s="8">
        <v>115</v>
      </c>
      <c r="G416" s="8">
        <v>62</v>
      </c>
      <c r="H416" s="8">
        <v>27</v>
      </c>
      <c r="I416" s="8" t="s">
        <v>576</v>
      </c>
      <c r="J416" s="8">
        <v>22</v>
      </c>
      <c r="K416" s="4" t="s">
        <v>552</v>
      </c>
      <c r="L416" s="4" t="s">
        <v>578</v>
      </c>
      <c r="M416" s="4" t="s">
        <v>579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6" customHeight="1">
      <c r="A417" s="4" t="s">
        <v>1290</v>
      </c>
      <c r="B417" s="4" t="s">
        <v>413</v>
      </c>
      <c r="C417" s="4" t="s">
        <v>426</v>
      </c>
      <c r="D417" s="9">
        <v>0.99939999999999996</v>
      </c>
      <c r="E417" s="8">
        <v>293</v>
      </c>
      <c r="F417" s="8">
        <v>120</v>
      </c>
      <c r="G417" s="8">
        <v>207</v>
      </c>
      <c r="H417" s="8">
        <v>19</v>
      </c>
      <c r="I417" s="8" t="s">
        <v>576</v>
      </c>
      <c r="J417" s="8">
        <v>16</v>
      </c>
      <c r="K417" s="4" t="s">
        <v>534</v>
      </c>
      <c r="L417" s="4" t="s">
        <v>583</v>
      </c>
      <c r="M417" s="4" t="s">
        <v>585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6" customHeight="1">
      <c r="A418" s="4" t="s">
        <v>1291</v>
      </c>
      <c r="B418" s="4" t="s">
        <v>413</v>
      </c>
      <c r="C418" s="4" t="s">
        <v>1292</v>
      </c>
      <c r="D418" s="9">
        <v>0.41789999999999999</v>
      </c>
      <c r="E418" s="8">
        <v>222</v>
      </c>
      <c r="F418" s="8">
        <v>133</v>
      </c>
      <c r="G418" s="8">
        <v>33</v>
      </c>
      <c r="H418" s="8">
        <v>32</v>
      </c>
      <c r="I418" s="8" t="s">
        <v>576</v>
      </c>
      <c r="J418" s="8">
        <v>26</v>
      </c>
      <c r="K418" s="4" t="s">
        <v>1253</v>
      </c>
      <c r="L418" s="4" t="s">
        <v>578</v>
      </c>
      <c r="M418" s="4" t="s">
        <v>579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6" customHeight="1">
      <c r="A419" s="4" t="s">
        <v>1293</v>
      </c>
      <c r="B419" s="4" t="s">
        <v>413</v>
      </c>
      <c r="C419" s="4" t="s">
        <v>203</v>
      </c>
      <c r="D419" s="9">
        <v>0.96240000000000003</v>
      </c>
      <c r="E419" s="8">
        <v>293</v>
      </c>
      <c r="F419" s="8">
        <v>137</v>
      </c>
      <c r="G419" s="8">
        <v>210</v>
      </c>
      <c r="H419" s="8">
        <v>23</v>
      </c>
      <c r="I419" s="8" t="s">
        <v>576</v>
      </c>
      <c r="J419" s="8">
        <v>19</v>
      </c>
      <c r="K419" s="4" t="s">
        <v>552</v>
      </c>
      <c r="L419" s="4" t="s">
        <v>578</v>
      </c>
      <c r="M419" s="4" t="s">
        <v>585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6" customHeight="1">
      <c r="A420" s="4" t="s">
        <v>1294</v>
      </c>
      <c r="B420" s="4" t="s">
        <v>413</v>
      </c>
      <c r="C420" s="4" t="s">
        <v>1295</v>
      </c>
      <c r="D420" s="9">
        <v>0.59899999999999998</v>
      </c>
      <c r="E420" s="8">
        <v>63</v>
      </c>
      <c r="F420" s="8">
        <v>147</v>
      </c>
      <c r="G420" s="8">
        <v>27</v>
      </c>
      <c r="H420" s="8">
        <v>57</v>
      </c>
      <c r="I420" s="8" t="s">
        <v>661</v>
      </c>
      <c r="J420" s="8">
        <v>47</v>
      </c>
      <c r="K420" s="4" t="s">
        <v>1296</v>
      </c>
      <c r="L420" s="4" t="s">
        <v>578</v>
      </c>
      <c r="M420" s="4" t="s">
        <v>579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6" customHeight="1">
      <c r="A421" s="4" t="s">
        <v>1297</v>
      </c>
      <c r="B421" s="4" t="s">
        <v>413</v>
      </c>
      <c r="C421" s="4" t="s">
        <v>1298</v>
      </c>
      <c r="D421" s="9">
        <v>0.94669999999999999</v>
      </c>
      <c r="E421" s="8">
        <v>207</v>
      </c>
      <c r="F421" s="8">
        <v>156</v>
      </c>
      <c r="G421" s="8">
        <v>43</v>
      </c>
      <c r="H421" s="8">
        <v>25</v>
      </c>
      <c r="I421" s="8" t="s">
        <v>576</v>
      </c>
      <c r="J421" s="8">
        <v>20</v>
      </c>
      <c r="K421" s="4" t="s">
        <v>552</v>
      </c>
      <c r="L421" s="4" t="s">
        <v>583</v>
      </c>
      <c r="M421" s="4" t="s">
        <v>585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6" customHeight="1">
      <c r="A422" s="4" t="s">
        <v>1299</v>
      </c>
      <c r="B422" s="4" t="s">
        <v>413</v>
      </c>
      <c r="C422" s="4" t="s">
        <v>1300</v>
      </c>
      <c r="D422" s="9">
        <v>0.46560000000000001</v>
      </c>
      <c r="E422" s="8">
        <v>230</v>
      </c>
      <c r="F422" s="8">
        <v>159</v>
      </c>
      <c r="G422" s="8">
        <v>17</v>
      </c>
      <c r="H422" s="8">
        <v>21</v>
      </c>
      <c r="I422" s="8" t="s">
        <v>576</v>
      </c>
      <c r="J422" s="8">
        <v>17</v>
      </c>
      <c r="K422" s="4" t="s">
        <v>534</v>
      </c>
      <c r="L422" s="4" t="s">
        <v>578</v>
      </c>
      <c r="M422" s="4" t="s">
        <v>579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6" customHeight="1">
      <c r="A423" s="4" t="s">
        <v>1301</v>
      </c>
      <c r="B423" s="4" t="s">
        <v>413</v>
      </c>
      <c r="C423" s="4" t="s">
        <v>428</v>
      </c>
      <c r="D423" s="9">
        <v>0.99980000000000002</v>
      </c>
      <c r="E423" s="8">
        <v>295</v>
      </c>
      <c r="F423" s="8">
        <v>159</v>
      </c>
      <c r="G423" s="8">
        <v>185</v>
      </c>
      <c r="H423" s="8">
        <v>20</v>
      </c>
      <c r="I423" s="8" t="s">
        <v>576</v>
      </c>
      <c r="J423" s="8">
        <v>16</v>
      </c>
      <c r="K423" s="4" t="s">
        <v>534</v>
      </c>
      <c r="L423" s="4" t="s">
        <v>583</v>
      </c>
      <c r="M423" s="4" t="s">
        <v>585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6" customHeight="1">
      <c r="A424" s="4" t="s">
        <v>1302</v>
      </c>
      <c r="B424" s="4" t="s">
        <v>413</v>
      </c>
      <c r="C424" s="4" t="s">
        <v>1303</v>
      </c>
      <c r="D424" s="9">
        <v>0.95189999999999997</v>
      </c>
      <c r="E424" s="8">
        <v>295</v>
      </c>
      <c r="F424" s="8">
        <v>179</v>
      </c>
      <c r="G424" s="8">
        <v>173</v>
      </c>
      <c r="H424" s="8">
        <v>19</v>
      </c>
      <c r="I424" s="8" t="s">
        <v>576</v>
      </c>
      <c r="J424" s="8">
        <v>16</v>
      </c>
      <c r="K424" s="4" t="s">
        <v>474</v>
      </c>
      <c r="L424" s="4" t="s">
        <v>578</v>
      </c>
      <c r="M424" s="4" t="s">
        <v>585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6" customHeight="1">
      <c r="A425" s="4" t="s">
        <v>1304</v>
      </c>
      <c r="B425" s="4" t="s">
        <v>443</v>
      </c>
      <c r="C425" s="4" t="s">
        <v>442</v>
      </c>
      <c r="D425" s="9">
        <v>0.99839999999999995</v>
      </c>
      <c r="E425" s="8">
        <v>147</v>
      </c>
      <c r="F425" s="8">
        <v>2</v>
      </c>
      <c r="G425" s="8">
        <v>102</v>
      </c>
      <c r="H425" s="8">
        <v>25</v>
      </c>
      <c r="I425" s="8" t="s">
        <v>576</v>
      </c>
      <c r="J425" s="8">
        <v>20</v>
      </c>
      <c r="K425" s="4" t="s">
        <v>547</v>
      </c>
      <c r="L425" s="4" t="s">
        <v>583</v>
      </c>
      <c r="M425" s="4" t="s">
        <v>585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6" customHeight="1">
      <c r="A426" s="4" t="s">
        <v>1305</v>
      </c>
      <c r="B426" s="4" t="s">
        <v>443</v>
      </c>
      <c r="C426" s="4" t="s">
        <v>1259</v>
      </c>
      <c r="D426" s="9">
        <v>0.94399999999999995</v>
      </c>
      <c r="E426" s="8">
        <v>85</v>
      </c>
      <c r="F426" s="8">
        <v>36</v>
      </c>
      <c r="G426" s="8">
        <v>228</v>
      </c>
      <c r="H426" s="8">
        <v>22</v>
      </c>
      <c r="I426" s="8" t="s">
        <v>576</v>
      </c>
      <c r="J426" s="8">
        <v>18</v>
      </c>
      <c r="K426" s="4" t="s">
        <v>1150</v>
      </c>
      <c r="L426" s="4" t="s">
        <v>578</v>
      </c>
      <c r="M426" s="4" t="s">
        <v>585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6" customHeight="1">
      <c r="A427" s="4" t="s">
        <v>1306</v>
      </c>
      <c r="B427" s="4" t="s">
        <v>443</v>
      </c>
      <c r="C427" s="4" t="s">
        <v>1263</v>
      </c>
      <c r="D427" s="9">
        <v>0.93689999999999996</v>
      </c>
      <c r="E427" s="8">
        <v>85</v>
      </c>
      <c r="F427" s="8">
        <v>67</v>
      </c>
      <c r="G427" s="8">
        <v>230</v>
      </c>
      <c r="H427" s="8">
        <v>24</v>
      </c>
      <c r="I427" s="8" t="s">
        <v>576</v>
      </c>
      <c r="J427" s="8">
        <v>20</v>
      </c>
      <c r="K427" s="4" t="s">
        <v>1140</v>
      </c>
      <c r="L427" s="4" t="s">
        <v>578</v>
      </c>
      <c r="M427" s="4" t="s">
        <v>585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6" customHeight="1">
      <c r="A428" s="4" t="s">
        <v>1307</v>
      </c>
      <c r="B428" s="4" t="s">
        <v>443</v>
      </c>
      <c r="C428" s="4" t="s">
        <v>1308</v>
      </c>
      <c r="D428" s="9">
        <v>0.72609999999999997</v>
      </c>
      <c r="E428" s="8">
        <v>1</v>
      </c>
      <c r="F428" s="8">
        <v>85</v>
      </c>
      <c r="G428" s="8">
        <v>26</v>
      </c>
      <c r="H428" s="8">
        <v>103</v>
      </c>
      <c r="I428" s="8" t="s">
        <v>661</v>
      </c>
      <c r="J428" s="8">
        <v>84</v>
      </c>
      <c r="K428" s="4" t="s">
        <v>546</v>
      </c>
      <c r="L428" s="4" t="s">
        <v>583</v>
      </c>
      <c r="M428" s="4" t="s">
        <v>579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6" customHeight="1">
      <c r="A429" s="4" t="s">
        <v>1309</v>
      </c>
      <c r="B429" s="4" t="s">
        <v>443</v>
      </c>
      <c r="C429" s="4" t="s">
        <v>1310</v>
      </c>
      <c r="D429" s="9">
        <v>0.70540000000000003</v>
      </c>
      <c r="E429" s="8">
        <v>3</v>
      </c>
      <c r="F429" s="8">
        <v>85</v>
      </c>
      <c r="G429" s="8">
        <v>25</v>
      </c>
      <c r="H429" s="8">
        <v>103</v>
      </c>
      <c r="I429" s="8" t="s">
        <v>661</v>
      </c>
      <c r="J429" s="8">
        <v>84</v>
      </c>
      <c r="K429" s="4" t="s">
        <v>546</v>
      </c>
      <c r="L429" s="4" t="s">
        <v>578</v>
      </c>
      <c r="M429" s="4" t="s">
        <v>579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6" customHeight="1">
      <c r="A430" s="4" t="s">
        <v>1311</v>
      </c>
      <c r="B430" s="4" t="s">
        <v>443</v>
      </c>
      <c r="C430" s="4" t="s">
        <v>1312</v>
      </c>
      <c r="D430" s="9">
        <v>0.70099999999999996</v>
      </c>
      <c r="E430" s="8">
        <v>33</v>
      </c>
      <c r="F430" s="8">
        <v>87</v>
      </c>
      <c r="G430" s="8">
        <v>29</v>
      </c>
      <c r="H430" s="8">
        <v>83</v>
      </c>
      <c r="I430" s="8" t="s">
        <v>661</v>
      </c>
      <c r="J430" s="8">
        <v>68</v>
      </c>
      <c r="K430" s="4" t="s">
        <v>1313</v>
      </c>
      <c r="L430" s="4" t="s">
        <v>583</v>
      </c>
      <c r="M430" s="4" t="s">
        <v>579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6" customHeight="1">
      <c r="A431" s="4" t="s">
        <v>1314</v>
      </c>
      <c r="B431" s="4" t="s">
        <v>443</v>
      </c>
      <c r="C431" s="4" t="s">
        <v>1263</v>
      </c>
      <c r="D431" s="9">
        <v>0.95009999999999994</v>
      </c>
      <c r="E431" s="8">
        <v>85</v>
      </c>
      <c r="F431" s="8">
        <v>99</v>
      </c>
      <c r="G431" s="8">
        <v>229</v>
      </c>
      <c r="H431" s="8">
        <v>24</v>
      </c>
      <c r="I431" s="8" t="s">
        <v>576</v>
      </c>
      <c r="J431" s="8">
        <v>20</v>
      </c>
      <c r="K431" s="4" t="s">
        <v>556</v>
      </c>
      <c r="L431" s="4" t="s">
        <v>578</v>
      </c>
      <c r="M431" s="4" t="s">
        <v>585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6" customHeight="1">
      <c r="A432" s="4" t="s">
        <v>1315</v>
      </c>
      <c r="B432" s="4" t="s">
        <v>443</v>
      </c>
      <c r="C432" s="4" t="s">
        <v>1259</v>
      </c>
      <c r="D432" s="9">
        <v>0.93720000000000003</v>
      </c>
      <c r="E432" s="8">
        <v>86</v>
      </c>
      <c r="F432" s="8">
        <v>100</v>
      </c>
      <c r="G432" s="8">
        <v>227</v>
      </c>
      <c r="H432" s="8">
        <v>22</v>
      </c>
      <c r="I432" s="8" t="s">
        <v>576</v>
      </c>
      <c r="J432" s="8">
        <v>18</v>
      </c>
      <c r="K432" s="4" t="s">
        <v>556</v>
      </c>
      <c r="L432" s="4" t="s">
        <v>583</v>
      </c>
      <c r="M432" s="4" t="s">
        <v>585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6" customHeight="1">
      <c r="A433" s="4" t="s">
        <v>1316</v>
      </c>
      <c r="B433" s="4" t="s">
        <v>443</v>
      </c>
      <c r="C433" s="4" t="s">
        <v>424</v>
      </c>
      <c r="D433" s="9">
        <v>0.99880000000000002</v>
      </c>
      <c r="E433" s="8">
        <v>88</v>
      </c>
      <c r="F433" s="8">
        <v>133</v>
      </c>
      <c r="G433" s="8">
        <v>221</v>
      </c>
      <c r="H433" s="8">
        <v>21</v>
      </c>
      <c r="I433" s="8" t="s">
        <v>576</v>
      </c>
      <c r="J433" s="8">
        <v>17</v>
      </c>
      <c r="K433" s="4" t="s">
        <v>540</v>
      </c>
      <c r="L433" s="4" t="s">
        <v>578</v>
      </c>
      <c r="M433" s="4" t="s">
        <v>585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6" customHeight="1">
      <c r="A434" s="4" t="s">
        <v>1317</v>
      </c>
      <c r="B434" s="4" t="s">
        <v>443</v>
      </c>
      <c r="C434" s="4" t="s">
        <v>424</v>
      </c>
      <c r="D434" s="9">
        <v>0.99890000000000001</v>
      </c>
      <c r="E434" s="8">
        <v>87</v>
      </c>
      <c r="F434" s="8">
        <v>163</v>
      </c>
      <c r="G434" s="8">
        <v>221</v>
      </c>
      <c r="H434" s="8">
        <v>22</v>
      </c>
      <c r="I434" s="8" t="s">
        <v>576</v>
      </c>
      <c r="J434" s="8">
        <v>18</v>
      </c>
      <c r="K434" s="4" t="s">
        <v>1145</v>
      </c>
      <c r="L434" s="4" t="s">
        <v>578</v>
      </c>
      <c r="M434" s="4" t="s">
        <v>585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6" customHeight="1">
      <c r="A435" s="4" t="s">
        <v>1318</v>
      </c>
      <c r="B435" s="4" t="s">
        <v>443</v>
      </c>
      <c r="C435" s="4" t="s">
        <v>1319</v>
      </c>
      <c r="D435" s="9">
        <v>0.80659999999999998</v>
      </c>
      <c r="E435" s="8">
        <v>35</v>
      </c>
      <c r="F435" s="8">
        <v>164</v>
      </c>
      <c r="G435" s="8">
        <v>21</v>
      </c>
      <c r="H435" s="8">
        <v>21</v>
      </c>
      <c r="I435" s="8" t="s">
        <v>576</v>
      </c>
      <c r="J435" s="8">
        <v>17</v>
      </c>
      <c r="K435" s="4" t="s">
        <v>1320</v>
      </c>
      <c r="L435" s="4" t="s">
        <v>578</v>
      </c>
      <c r="M435" s="4" t="s">
        <v>579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6" customHeight="1">
      <c r="A436" s="4" t="s">
        <v>1321</v>
      </c>
      <c r="B436" s="4" t="s">
        <v>443</v>
      </c>
      <c r="C436" s="4" t="s">
        <v>424</v>
      </c>
      <c r="D436" s="9">
        <v>0.99909999999999999</v>
      </c>
      <c r="E436" s="8">
        <v>87</v>
      </c>
      <c r="F436" s="8">
        <v>195</v>
      </c>
      <c r="G436" s="8">
        <v>221</v>
      </c>
      <c r="H436" s="8">
        <v>22</v>
      </c>
      <c r="I436" s="8" t="s">
        <v>576</v>
      </c>
      <c r="J436" s="8">
        <v>18</v>
      </c>
      <c r="K436" s="4" t="s">
        <v>557</v>
      </c>
      <c r="L436" s="4" t="s">
        <v>583</v>
      </c>
      <c r="M436" s="4" t="s">
        <v>585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6" customHeight="1">
      <c r="A437" s="4" t="s">
        <v>1322</v>
      </c>
      <c r="B437" s="4" t="s">
        <v>443</v>
      </c>
      <c r="C437" s="4" t="s">
        <v>408</v>
      </c>
      <c r="D437" s="9">
        <v>0.99990000000000001</v>
      </c>
      <c r="E437" s="8">
        <v>156</v>
      </c>
      <c r="F437" s="8">
        <v>227</v>
      </c>
      <c r="G437" s="8">
        <v>85</v>
      </c>
      <c r="H437" s="8">
        <v>23</v>
      </c>
      <c r="I437" s="8" t="s">
        <v>576</v>
      </c>
      <c r="J437" s="8">
        <v>19</v>
      </c>
      <c r="K437" s="4" t="s">
        <v>558</v>
      </c>
      <c r="L437" s="4" t="s">
        <v>583</v>
      </c>
      <c r="M437" s="4" t="s">
        <v>585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6" customHeight="1">
      <c r="A438" s="4" t="s">
        <v>1323</v>
      </c>
      <c r="B438" s="4" t="s">
        <v>443</v>
      </c>
      <c r="C438" s="4" t="s">
        <v>408</v>
      </c>
      <c r="D438" s="9">
        <v>0.99990000000000001</v>
      </c>
      <c r="E438" s="8">
        <v>156</v>
      </c>
      <c r="F438" s="8">
        <v>260</v>
      </c>
      <c r="G438" s="8">
        <v>85</v>
      </c>
      <c r="H438" s="8">
        <v>23</v>
      </c>
      <c r="I438" s="8" t="s">
        <v>576</v>
      </c>
      <c r="J438" s="8">
        <v>19</v>
      </c>
      <c r="K438" s="4" t="s">
        <v>1212</v>
      </c>
      <c r="L438" s="4" t="s">
        <v>578</v>
      </c>
      <c r="M438" s="4" t="s">
        <v>585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6" customHeight="1">
      <c r="A439" s="4" t="s">
        <v>1324</v>
      </c>
      <c r="B439" s="4" t="s">
        <v>446</v>
      </c>
      <c r="C439" s="4" t="s">
        <v>1325</v>
      </c>
      <c r="D439" s="9">
        <v>0.96030000000000004</v>
      </c>
      <c r="E439" s="8">
        <v>858</v>
      </c>
      <c r="F439" s="8">
        <v>934</v>
      </c>
      <c r="G439" s="8">
        <v>57</v>
      </c>
      <c r="H439" s="8">
        <v>40</v>
      </c>
      <c r="I439" s="8" t="s">
        <v>576</v>
      </c>
      <c r="J439" s="8">
        <v>33</v>
      </c>
      <c r="K439" s="4" t="s">
        <v>1326</v>
      </c>
      <c r="L439" s="4" t="s">
        <v>583</v>
      </c>
      <c r="M439" s="4" t="s">
        <v>585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6" customHeight="1">
      <c r="A440" s="4" t="s">
        <v>1327</v>
      </c>
      <c r="B440" s="4" t="s">
        <v>446</v>
      </c>
      <c r="C440" s="4" t="s">
        <v>1325</v>
      </c>
      <c r="D440" s="9">
        <v>0.86009999999999998</v>
      </c>
      <c r="E440" s="8">
        <v>946</v>
      </c>
      <c r="F440" s="8">
        <v>973</v>
      </c>
      <c r="G440" s="8">
        <v>65</v>
      </c>
      <c r="H440" s="8">
        <v>32</v>
      </c>
      <c r="I440" s="8" t="s">
        <v>576</v>
      </c>
      <c r="J440" s="8">
        <v>26</v>
      </c>
      <c r="K440" s="4" t="s">
        <v>1328</v>
      </c>
      <c r="L440" s="4" t="s">
        <v>578</v>
      </c>
      <c r="M440" s="4" t="s">
        <v>579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6" customHeight="1">
      <c r="A441" s="4" t="s">
        <v>1329</v>
      </c>
      <c r="B441" s="4" t="s">
        <v>446</v>
      </c>
      <c r="C441" s="4" t="s">
        <v>1330</v>
      </c>
      <c r="D441" s="9">
        <v>0.68400000000000005</v>
      </c>
      <c r="E441" s="8">
        <v>1306</v>
      </c>
      <c r="F441" s="8">
        <v>1020</v>
      </c>
      <c r="G441" s="8">
        <v>18</v>
      </c>
      <c r="H441" s="8">
        <v>17</v>
      </c>
      <c r="I441" s="8" t="s">
        <v>576</v>
      </c>
      <c r="J441" s="8">
        <v>14</v>
      </c>
      <c r="K441" s="4" t="s">
        <v>1331</v>
      </c>
      <c r="L441" s="4" t="s">
        <v>578</v>
      </c>
      <c r="M441" s="4" t="s">
        <v>579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6" customHeight="1">
      <c r="A442" s="4" t="s">
        <v>1332</v>
      </c>
      <c r="B442" s="4" t="s">
        <v>446</v>
      </c>
      <c r="C442" s="4" t="s">
        <v>1333</v>
      </c>
      <c r="D442" s="9">
        <v>0.99480000000000002</v>
      </c>
      <c r="E442" s="8">
        <v>704</v>
      </c>
      <c r="F442" s="8">
        <v>1051</v>
      </c>
      <c r="G442" s="8">
        <v>513</v>
      </c>
      <c r="H442" s="8">
        <v>24</v>
      </c>
      <c r="I442" s="8" t="s">
        <v>576</v>
      </c>
      <c r="J442" s="8">
        <v>20</v>
      </c>
      <c r="K442" s="4" t="s">
        <v>559</v>
      </c>
      <c r="L442" s="4" t="s">
        <v>578</v>
      </c>
      <c r="M442" s="4" t="s">
        <v>585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6" customHeight="1">
      <c r="A443" s="4" t="s">
        <v>1334</v>
      </c>
      <c r="B443" s="4" t="s">
        <v>560</v>
      </c>
      <c r="C443" s="4" t="s">
        <v>647</v>
      </c>
      <c r="D443" s="9">
        <v>0.99250000000000005</v>
      </c>
      <c r="E443" s="8">
        <v>422</v>
      </c>
      <c r="F443" s="8">
        <v>41</v>
      </c>
      <c r="G443" s="8">
        <v>377</v>
      </c>
      <c r="H443" s="8">
        <v>273</v>
      </c>
      <c r="I443" s="8" t="s">
        <v>576</v>
      </c>
      <c r="J443" s="8">
        <v>224</v>
      </c>
      <c r="K443" s="4" t="s">
        <v>562</v>
      </c>
      <c r="L443" s="4" t="s">
        <v>578</v>
      </c>
      <c r="M443" s="4" t="s">
        <v>585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6" customHeight="1">
      <c r="A444" s="4" t="s">
        <v>1335</v>
      </c>
      <c r="B444" s="4" t="s">
        <v>560</v>
      </c>
      <c r="C444" s="4" t="s">
        <v>649</v>
      </c>
      <c r="D444" s="9">
        <v>0.75839999999999996</v>
      </c>
      <c r="E444" s="8">
        <v>747</v>
      </c>
      <c r="F444" s="8">
        <v>108</v>
      </c>
      <c r="G444" s="8">
        <v>686</v>
      </c>
      <c r="H444" s="8">
        <v>228</v>
      </c>
      <c r="I444" s="8" t="s">
        <v>576</v>
      </c>
      <c r="J444" s="8">
        <v>187</v>
      </c>
      <c r="K444" s="4" t="s">
        <v>564</v>
      </c>
      <c r="L444" s="4" t="s">
        <v>583</v>
      </c>
      <c r="M444" s="4" t="s">
        <v>579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6" customHeight="1">
      <c r="A445" s="4" t="s">
        <v>1336</v>
      </c>
      <c r="B445" s="4" t="s">
        <v>560</v>
      </c>
      <c r="C445" s="4" t="s">
        <v>655</v>
      </c>
      <c r="D445" s="9">
        <v>0.80710000000000004</v>
      </c>
      <c r="E445" s="8">
        <v>80</v>
      </c>
      <c r="F445" s="8">
        <v>129</v>
      </c>
      <c r="G445" s="8">
        <v>371</v>
      </c>
      <c r="H445" s="8">
        <v>176</v>
      </c>
      <c r="I445" s="8" t="s">
        <v>576</v>
      </c>
      <c r="J445" s="8">
        <v>144</v>
      </c>
      <c r="K445" s="4" t="s">
        <v>1337</v>
      </c>
      <c r="L445" s="4" t="s">
        <v>583</v>
      </c>
      <c r="M445" s="4" t="s">
        <v>579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6" customHeight="1">
      <c r="A446" s="4" t="s">
        <v>1338</v>
      </c>
      <c r="B446" s="4" t="s">
        <v>560</v>
      </c>
      <c r="C446" s="4" t="s">
        <v>664</v>
      </c>
      <c r="D446" s="9">
        <v>0.9869</v>
      </c>
      <c r="E446" s="8">
        <v>837</v>
      </c>
      <c r="F446" s="8">
        <v>316</v>
      </c>
      <c r="G446" s="8">
        <v>558</v>
      </c>
      <c r="H446" s="8">
        <v>26</v>
      </c>
      <c r="I446" s="8" t="s">
        <v>576</v>
      </c>
      <c r="J446" s="8">
        <v>21</v>
      </c>
      <c r="K446" s="4" t="s">
        <v>564</v>
      </c>
      <c r="L446" s="4" t="s">
        <v>583</v>
      </c>
      <c r="M446" s="4" t="s">
        <v>585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6" customHeight="1">
      <c r="A447" s="4" t="s">
        <v>1339</v>
      </c>
      <c r="B447" s="4" t="s">
        <v>451</v>
      </c>
      <c r="C447" s="4" t="s">
        <v>1340</v>
      </c>
      <c r="D447" s="9">
        <v>0.72529999999999994</v>
      </c>
      <c r="E447" s="8">
        <v>39</v>
      </c>
      <c r="F447" s="8">
        <v>77</v>
      </c>
      <c r="G447" s="8">
        <v>357</v>
      </c>
      <c r="H447" s="8">
        <v>149</v>
      </c>
      <c r="I447" s="8" t="s">
        <v>576</v>
      </c>
      <c r="J447" s="8">
        <v>122</v>
      </c>
      <c r="K447" s="4" t="s">
        <v>565</v>
      </c>
      <c r="L447" s="4" t="s">
        <v>583</v>
      </c>
      <c r="M447" s="4" t="s">
        <v>579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6" customHeight="1">
      <c r="A448" s="4" t="s">
        <v>1341</v>
      </c>
      <c r="B448" s="4" t="s">
        <v>451</v>
      </c>
      <c r="C448" s="4" t="s">
        <v>450</v>
      </c>
      <c r="D448" s="9">
        <v>0.95440000000000003</v>
      </c>
      <c r="E448" s="8">
        <v>105</v>
      </c>
      <c r="F448" s="8">
        <v>83</v>
      </c>
      <c r="G448" s="8">
        <v>285</v>
      </c>
      <c r="H448" s="8">
        <v>127</v>
      </c>
      <c r="I448" s="8" t="s">
        <v>576</v>
      </c>
      <c r="J448" s="8">
        <v>104</v>
      </c>
      <c r="K448" s="4" t="s">
        <v>565</v>
      </c>
      <c r="L448" s="4" t="s">
        <v>578</v>
      </c>
      <c r="M448" s="4" t="s">
        <v>585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M1"/>
    <mergeCell ref="A2:M2"/>
  </mergeCells>
  <phoneticPr fontId="8" type="noConversion"/>
  <conditionalFormatting sqref="M6:M448">
    <cfRule type="containsText" dxfId="6" priority="1" operator="containsText" text="需复核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0"/>
  <sheetViews>
    <sheetView showGridLines="0" workbookViewId="0"/>
  </sheetViews>
  <sheetFormatPr defaultRowHeight="14.25"/>
  <cols>
    <col min="1" max="1" width="32" customWidth="1"/>
    <col min="2" max="2" width="10" customWidth="1"/>
    <col min="3" max="3" width="16" customWidth="1"/>
    <col min="4" max="4" width="12" customWidth="1"/>
    <col min="5" max="5" width="20" customWidth="1"/>
    <col min="6" max="6" width="12" customWidth="1"/>
    <col min="7" max="7" width="10" customWidth="1"/>
    <col min="8" max="8" width="38" customWidth="1"/>
    <col min="9" max="9" width="48" customWidth="1"/>
    <col min="10" max="10" width="68" customWidth="1"/>
  </cols>
  <sheetData>
    <row r="1" spans="1:26" ht="36" customHeight="1">
      <c r="A1" s="15" t="s">
        <v>1342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95" customHeight="1">
      <c r="A2" s="16" t="s">
        <v>1343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6" t="s">
        <v>455</v>
      </c>
      <c r="B5" s="6" t="s">
        <v>1344</v>
      </c>
      <c r="C5" s="6" t="s">
        <v>1345</v>
      </c>
      <c r="D5" s="6" t="s">
        <v>1346</v>
      </c>
      <c r="E5" s="6" t="s">
        <v>1347</v>
      </c>
      <c r="F5" s="6" t="s">
        <v>1348</v>
      </c>
      <c r="G5" s="6" t="s">
        <v>1349</v>
      </c>
      <c r="H5" s="6" t="s">
        <v>64</v>
      </c>
      <c r="I5" s="6" t="s">
        <v>1350</v>
      </c>
      <c r="J5" s="6" t="s">
        <v>1351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4" t="s">
        <v>1352</v>
      </c>
      <c r="B6" s="4" t="s">
        <v>1353</v>
      </c>
      <c r="C6" s="4" t="s">
        <v>1354</v>
      </c>
      <c r="D6" s="4" t="s">
        <v>1355</v>
      </c>
      <c r="E6" s="4" t="s">
        <v>37</v>
      </c>
      <c r="F6" s="8">
        <v>0</v>
      </c>
      <c r="G6" s="8">
        <v>0</v>
      </c>
      <c r="H6" s="4"/>
      <c r="I6" s="4" t="s">
        <v>1356</v>
      </c>
      <c r="J6" s="4" t="s">
        <v>1357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1" customHeight="1">
      <c r="A7" s="4" t="s">
        <v>1358</v>
      </c>
      <c r="B7" s="4" t="s">
        <v>1359</v>
      </c>
      <c r="C7" s="4" t="s">
        <v>1360</v>
      </c>
      <c r="D7" s="4" t="s">
        <v>1355</v>
      </c>
      <c r="E7" s="4" t="s">
        <v>35</v>
      </c>
      <c r="F7" s="8">
        <v>0</v>
      </c>
      <c r="G7" s="8">
        <v>0</v>
      </c>
      <c r="H7" s="4" t="s">
        <v>1361</v>
      </c>
      <c r="I7" s="4" t="s">
        <v>1362</v>
      </c>
      <c r="J7" s="4" t="s">
        <v>1363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1" customHeight="1">
      <c r="A8" s="4" t="s">
        <v>1364</v>
      </c>
      <c r="B8" s="4" t="s">
        <v>1353</v>
      </c>
      <c r="C8" s="4" t="s">
        <v>1354</v>
      </c>
      <c r="D8" s="4" t="s">
        <v>1355</v>
      </c>
      <c r="E8" s="4" t="s">
        <v>37</v>
      </c>
      <c r="F8" s="8">
        <v>0</v>
      </c>
      <c r="G8" s="8">
        <v>0</v>
      </c>
      <c r="H8" s="4"/>
      <c r="I8" s="4" t="s">
        <v>1365</v>
      </c>
      <c r="J8" s="4" t="s">
        <v>1366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1" customHeight="1">
      <c r="A9" s="4" t="s">
        <v>68</v>
      </c>
      <c r="B9" s="4" t="s">
        <v>1359</v>
      </c>
      <c r="C9" s="4" t="s">
        <v>1367</v>
      </c>
      <c r="D9" s="4" t="s">
        <v>1355</v>
      </c>
      <c r="E9" s="4" t="s">
        <v>39</v>
      </c>
      <c r="F9" s="8">
        <v>21</v>
      </c>
      <c r="G9" s="8">
        <v>23</v>
      </c>
      <c r="H9" s="4"/>
      <c r="I9" s="4" t="s">
        <v>1368</v>
      </c>
      <c r="J9" s="4" t="s">
        <v>1369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1" customHeight="1">
      <c r="A10" s="4" t="s">
        <v>125</v>
      </c>
      <c r="B10" s="4" t="s">
        <v>1359</v>
      </c>
      <c r="C10" s="4" t="s">
        <v>1370</v>
      </c>
      <c r="D10" s="4" t="s">
        <v>1355</v>
      </c>
      <c r="E10" s="4" t="s">
        <v>39</v>
      </c>
      <c r="F10" s="8">
        <v>19</v>
      </c>
      <c r="G10" s="8">
        <v>56</v>
      </c>
      <c r="H10" s="4"/>
      <c r="I10" s="4" t="s">
        <v>1371</v>
      </c>
      <c r="J10" s="4" t="s">
        <v>1372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1" customHeight="1">
      <c r="A11" s="4" t="s">
        <v>1373</v>
      </c>
      <c r="B11" s="4" t="s">
        <v>1353</v>
      </c>
      <c r="C11" s="4" t="s">
        <v>1354</v>
      </c>
      <c r="D11" s="4" t="s">
        <v>1374</v>
      </c>
      <c r="E11" s="4" t="s">
        <v>37</v>
      </c>
      <c r="F11" s="8">
        <v>0</v>
      </c>
      <c r="G11" s="8">
        <v>0</v>
      </c>
      <c r="H11" s="4"/>
      <c r="I11" s="4" t="s">
        <v>1375</v>
      </c>
      <c r="J11" s="4" t="s">
        <v>1376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2.1" customHeight="1">
      <c r="A12" s="4" t="s">
        <v>1377</v>
      </c>
      <c r="B12" s="4" t="s">
        <v>1353</v>
      </c>
      <c r="C12" s="4" t="s">
        <v>1354</v>
      </c>
      <c r="D12" s="4" t="s">
        <v>1374</v>
      </c>
      <c r="E12" s="4" t="s">
        <v>37</v>
      </c>
      <c r="F12" s="8">
        <v>0</v>
      </c>
      <c r="G12" s="8">
        <v>0</v>
      </c>
      <c r="H12" s="4"/>
      <c r="I12" s="4" t="s">
        <v>1378</v>
      </c>
      <c r="J12" s="4" t="s">
        <v>1379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1" customHeight="1">
      <c r="A13" s="4" t="s">
        <v>1380</v>
      </c>
      <c r="B13" s="4" t="s">
        <v>1353</v>
      </c>
      <c r="C13" s="4" t="s">
        <v>1354</v>
      </c>
      <c r="D13" s="4" t="s">
        <v>1374</v>
      </c>
      <c r="E13" s="4" t="s">
        <v>37</v>
      </c>
      <c r="F13" s="8">
        <v>0</v>
      </c>
      <c r="G13" s="8">
        <v>0</v>
      </c>
      <c r="H13" s="4"/>
      <c r="I13" s="4" t="s">
        <v>1381</v>
      </c>
      <c r="J13" s="4" t="s">
        <v>1382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1" customHeight="1">
      <c r="A14" s="4" t="s">
        <v>1383</v>
      </c>
      <c r="B14" s="4" t="s">
        <v>1353</v>
      </c>
      <c r="C14" s="4" t="s">
        <v>1354</v>
      </c>
      <c r="D14" s="4" t="s">
        <v>1374</v>
      </c>
      <c r="E14" s="4" t="s">
        <v>37</v>
      </c>
      <c r="F14" s="8">
        <v>0</v>
      </c>
      <c r="G14" s="8">
        <v>0</v>
      </c>
      <c r="H14" s="4"/>
      <c r="I14" s="4" t="s">
        <v>1384</v>
      </c>
      <c r="J14" s="4" t="s">
        <v>1385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1" customHeight="1">
      <c r="A15" s="4" t="s">
        <v>182</v>
      </c>
      <c r="B15" s="4" t="s">
        <v>1359</v>
      </c>
      <c r="C15" s="4" t="s">
        <v>1386</v>
      </c>
      <c r="D15" s="4" t="s">
        <v>1355</v>
      </c>
      <c r="E15" s="4" t="s">
        <v>39</v>
      </c>
      <c r="F15" s="8">
        <v>7</v>
      </c>
      <c r="G15" s="8">
        <v>31</v>
      </c>
      <c r="H15" s="4"/>
      <c r="I15" s="4" t="s">
        <v>1387</v>
      </c>
      <c r="J15" s="4" t="s">
        <v>1388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1" customHeight="1">
      <c r="A16" s="4" t="s">
        <v>1389</v>
      </c>
      <c r="B16" s="4" t="s">
        <v>1353</v>
      </c>
      <c r="C16" s="4" t="s">
        <v>1390</v>
      </c>
      <c r="D16" s="4" t="s">
        <v>1355</v>
      </c>
      <c r="E16" s="4" t="s">
        <v>37</v>
      </c>
      <c r="F16" s="8">
        <v>0</v>
      </c>
      <c r="G16" s="8">
        <v>0</v>
      </c>
      <c r="H16" s="4"/>
      <c r="I16" s="4" t="s">
        <v>1391</v>
      </c>
      <c r="J16" s="4" t="s">
        <v>1392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1" customHeight="1">
      <c r="A17" s="4" t="s">
        <v>215</v>
      </c>
      <c r="B17" s="4" t="s">
        <v>1359</v>
      </c>
      <c r="C17" s="4" t="s">
        <v>1393</v>
      </c>
      <c r="D17" s="4" t="s">
        <v>1355</v>
      </c>
      <c r="E17" s="4" t="s">
        <v>39</v>
      </c>
      <c r="F17" s="8">
        <v>12</v>
      </c>
      <c r="G17" s="8">
        <v>16</v>
      </c>
      <c r="H17" s="4"/>
      <c r="I17" s="4" t="s">
        <v>1394</v>
      </c>
      <c r="J17" s="4" t="s">
        <v>1395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2.1" customHeight="1">
      <c r="A18" s="4" t="s">
        <v>1396</v>
      </c>
      <c r="B18" s="4" t="s">
        <v>1359</v>
      </c>
      <c r="C18" s="4" t="s">
        <v>1397</v>
      </c>
      <c r="D18" s="4" t="s">
        <v>1355</v>
      </c>
      <c r="E18" s="4" t="s">
        <v>37</v>
      </c>
      <c r="F18" s="8">
        <v>0</v>
      </c>
      <c r="G18" s="8">
        <v>0</v>
      </c>
      <c r="H18" s="4"/>
      <c r="I18" s="4" t="s">
        <v>1398</v>
      </c>
      <c r="J18" s="4" t="s">
        <v>1399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1" customHeight="1">
      <c r="A19" s="4" t="s">
        <v>1400</v>
      </c>
      <c r="B19" s="4" t="s">
        <v>1353</v>
      </c>
      <c r="C19" s="4" t="s">
        <v>1401</v>
      </c>
      <c r="D19" s="4" t="s">
        <v>1355</v>
      </c>
      <c r="E19" s="4" t="s">
        <v>37</v>
      </c>
      <c r="F19" s="8">
        <v>0</v>
      </c>
      <c r="G19" s="8">
        <v>0</v>
      </c>
      <c r="H19" s="4"/>
      <c r="I19" s="4" t="s">
        <v>1402</v>
      </c>
      <c r="J19" s="4" t="s">
        <v>1403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2.1" customHeight="1">
      <c r="A20" s="4" t="s">
        <v>1404</v>
      </c>
      <c r="B20" s="4" t="s">
        <v>1353</v>
      </c>
      <c r="C20" s="4" t="s">
        <v>1405</v>
      </c>
      <c r="D20" s="4" t="s">
        <v>1355</v>
      </c>
      <c r="E20" s="4" t="s">
        <v>37</v>
      </c>
      <c r="F20" s="8">
        <v>0</v>
      </c>
      <c r="G20" s="8">
        <v>0</v>
      </c>
      <c r="H20" s="4"/>
      <c r="I20" s="4" t="s">
        <v>1406</v>
      </c>
      <c r="J20" s="4" t="s">
        <v>1407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2.1" customHeight="1">
      <c r="A21" s="4" t="s">
        <v>1408</v>
      </c>
      <c r="B21" s="4" t="s">
        <v>1359</v>
      </c>
      <c r="C21" s="4" t="s">
        <v>1409</v>
      </c>
      <c r="D21" s="4" t="s">
        <v>1355</v>
      </c>
      <c r="E21" s="4" t="s">
        <v>37</v>
      </c>
      <c r="F21" s="8">
        <v>0</v>
      </c>
      <c r="G21" s="8">
        <v>0</v>
      </c>
      <c r="H21" s="4"/>
      <c r="I21" s="4" t="s">
        <v>1410</v>
      </c>
      <c r="J21" s="4" t="s">
        <v>1411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2.1" customHeight="1">
      <c r="A22" s="4" t="s">
        <v>1412</v>
      </c>
      <c r="B22" s="4" t="s">
        <v>1353</v>
      </c>
      <c r="C22" s="4" t="s">
        <v>1413</v>
      </c>
      <c r="D22" s="4" t="s">
        <v>1355</v>
      </c>
      <c r="E22" s="4" t="s">
        <v>37</v>
      </c>
      <c r="F22" s="8">
        <v>0</v>
      </c>
      <c r="G22" s="8">
        <v>0</v>
      </c>
      <c r="H22" s="4"/>
      <c r="I22" s="4" t="s">
        <v>1414</v>
      </c>
      <c r="J22" s="4" t="s">
        <v>1415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2.1" customHeight="1">
      <c r="A23" s="4" t="s">
        <v>1416</v>
      </c>
      <c r="B23" s="4" t="s">
        <v>1359</v>
      </c>
      <c r="C23" s="4" t="s">
        <v>1417</v>
      </c>
      <c r="D23" s="4" t="s">
        <v>1355</v>
      </c>
      <c r="E23" s="4" t="s">
        <v>37</v>
      </c>
      <c r="F23" s="8">
        <v>0</v>
      </c>
      <c r="G23" s="8">
        <v>0</v>
      </c>
      <c r="H23" s="4"/>
      <c r="I23" s="4" t="s">
        <v>1418</v>
      </c>
      <c r="J23" s="4" t="s">
        <v>1419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2.1" customHeight="1">
      <c r="A24" s="4" t="s">
        <v>1420</v>
      </c>
      <c r="B24" s="4" t="s">
        <v>1353</v>
      </c>
      <c r="C24" s="4" t="s">
        <v>1421</v>
      </c>
      <c r="D24" s="4" t="s">
        <v>1374</v>
      </c>
      <c r="E24" s="4" t="s">
        <v>37</v>
      </c>
      <c r="F24" s="8">
        <v>0</v>
      </c>
      <c r="G24" s="8">
        <v>0</v>
      </c>
      <c r="H24" s="4"/>
      <c r="I24" s="4" t="s">
        <v>1422</v>
      </c>
      <c r="J24" s="4" t="s">
        <v>1423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2.1" customHeight="1">
      <c r="A25" s="4" t="s">
        <v>1424</v>
      </c>
      <c r="B25" s="4" t="s">
        <v>1359</v>
      </c>
      <c r="C25" s="4" t="s">
        <v>1425</v>
      </c>
      <c r="D25" s="4" t="s">
        <v>1355</v>
      </c>
      <c r="E25" s="4" t="s">
        <v>37</v>
      </c>
      <c r="F25" s="8">
        <v>0</v>
      </c>
      <c r="G25" s="8">
        <v>0</v>
      </c>
      <c r="H25" s="4"/>
      <c r="I25" s="4" t="s">
        <v>1426</v>
      </c>
      <c r="J25" s="4" t="s">
        <v>1427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2.1" customHeight="1">
      <c r="A26" s="4" t="s">
        <v>1428</v>
      </c>
      <c r="B26" s="4" t="s">
        <v>1353</v>
      </c>
      <c r="C26" s="4" t="s">
        <v>1413</v>
      </c>
      <c r="D26" s="4" t="s">
        <v>1355</v>
      </c>
      <c r="E26" s="4" t="s">
        <v>37</v>
      </c>
      <c r="F26" s="8">
        <v>0</v>
      </c>
      <c r="G26" s="8">
        <v>0</v>
      </c>
      <c r="H26" s="4"/>
      <c r="I26" s="4" t="s">
        <v>1429</v>
      </c>
      <c r="J26" s="4" t="s">
        <v>1415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2.1" customHeight="1">
      <c r="A27" s="4" t="s">
        <v>1430</v>
      </c>
      <c r="B27" s="4" t="s">
        <v>1359</v>
      </c>
      <c r="C27" s="4" t="s">
        <v>1431</v>
      </c>
      <c r="D27" s="4" t="s">
        <v>1355</v>
      </c>
      <c r="E27" s="4" t="s">
        <v>37</v>
      </c>
      <c r="F27" s="8">
        <v>0</v>
      </c>
      <c r="G27" s="8">
        <v>0</v>
      </c>
      <c r="H27" s="4"/>
      <c r="I27" s="4" t="s">
        <v>1432</v>
      </c>
      <c r="J27" s="4" t="s">
        <v>1433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2.1" customHeight="1">
      <c r="A28" s="4" t="s">
        <v>498</v>
      </c>
      <c r="B28" s="4" t="s">
        <v>1353</v>
      </c>
      <c r="C28" s="4" t="s">
        <v>1434</v>
      </c>
      <c r="D28" s="4" t="s">
        <v>1355</v>
      </c>
      <c r="E28" s="4" t="s">
        <v>39</v>
      </c>
      <c r="F28" s="8">
        <v>3</v>
      </c>
      <c r="G28" s="8">
        <v>3</v>
      </c>
      <c r="H28" s="4"/>
      <c r="I28" s="4" t="s">
        <v>1435</v>
      </c>
      <c r="J28" s="4" t="s">
        <v>1436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2.1" customHeight="1">
      <c r="A29" s="4" t="s">
        <v>1437</v>
      </c>
      <c r="B29" s="4" t="s">
        <v>1359</v>
      </c>
      <c r="C29" s="4" t="s">
        <v>1438</v>
      </c>
      <c r="D29" s="4" t="s">
        <v>1355</v>
      </c>
      <c r="E29" s="4" t="s">
        <v>37</v>
      </c>
      <c r="F29" s="8">
        <v>0</v>
      </c>
      <c r="G29" s="8">
        <v>0</v>
      </c>
      <c r="H29" s="4"/>
      <c r="I29" s="4" t="s">
        <v>1439</v>
      </c>
      <c r="J29" s="4" t="s">
        <v>1440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2.1" customHeight="1">
      <c r="A30" s="4" t="s">
        <v>244</v>
      </c>
      <c r="B30" s="4" t="s">
        <v>1353</v>
      </c>
      <c r="C30" s="4" t="s">
        <v>1434</v>
      </c>
      <c r="D30" s="4" t="s">
        <v>1355</v>
      </c>
      <c r="E30" s="4" t="s">
        <v>39</v>
      </c>
      <c r="F30" s="8">
        <v>4</v>
      </c>
      <c r="G30" s="8">
        <v>4</v>
      </c>
      <c r="H30" s="4"/>
      <c r="I30" s="4" t="s">
        <v>1441</v>
      </c>
      <c r="J30" s="4" t="s">
        <v>1442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2.1" customHeight="1">
      <c r="A31" s="4" t="s">
        <v>507</v>
      </c>
      <c r="B31" s="4" t="s">
        <v>1359</v>
      </c>
      <c r="C31" s="4" t="s">
        <v>1443</v>
      </c>
      <c r="D31" s="4" t="s">
        <v>1355</v>
      </c>
      <c r="E31" s="4" t="s">
        <v>39</v>
      </c>
      <c r="F31" s="8">
        <v>2</v>
      </c>
      <c r="G31" s="8">
        <v>10</v>
      </c>
      <c r="H31" s="4"/>
      <c r="I31" s="4" t="s">
        <v>1444</v>
      </c>
      <c r="J31" s="4" t="s">
        <v>1445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2.1" customHeight="1">
      <c r="A32" s="4" t="s">
        <v>264</v>
      </c>
      <c r="B32" s="4" t="s">
        <v>1353</v>
      </c>
      <c r="C32" s="4" t="s">
        <v>1434</v>
      </c>
      <c r="D32" s="4" t="s">
        <v>1355</v>
      </c>
      <c r="E32" s="4" t="s">
        <v>39</v>
      </c>
      <c r="F32" s="8">
        <v>4</v>
      </c>
      <c r="G32" s="8">
        <v>4</v>
      </c>
      <c r="H32" s="4"/>
      <c r="I32" s="4" t="s">
        <v>1446</v>
      </c>
      <c r="J32" s="4" t="s">
        <v>1447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2.1" customHeight="1">
      <c r="A33" s="4" t="s">
        <v>1448</v>
      </c>
      <c r="B33" s="4" t="s">
        <v>1359</v>
      </c>
      <c r="C33" s="4" t="s">
        <v>1449</v>
      </c>
      <c r="D33" s="4" t="s">
        <v>1355</v>
      </c>
      <c r="E33" s="4" t="s">
        <v>37</v>
      </c>
      <c r="F33" s="8">
        <v>0</v>
      </c>
      <c r="G33" s="8">
        <v>0</v>
      </c>
      <c r="H33" s="4"/>
      <c r="I33" s="4" t="s">
        <v>1450</v>
      </c>
      <c r="J33" s="4" t="s">
        <v>1451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2.1" customHeight="1">
      <c r="A34" s="4" t="s">
        <v>1452</v>
      </c>
      <c r="B34" s="4" t="s">
        <v>1353</v>
      </c>
      <c r="C34" s="4" t="s">
        <v>1354</v>
      </c>
      <c r="D34" s="4" t="s">
        <v>1355</v>
      </c>
      <c r="E34" s="4" t="s">
        <v>37</v>
      </c>
      <c r="F34" s="8">
        <v>0</v>
      </c>
      <c r="G34" s="8">
        <v>0</v>
      </c>
      <c r="H34" s="4" t="s">
        <v>1453</v>
      </c>
      <c r="I34" s="4" t="s">
        <v>1454</v>
      </c>
      <c r="J34" s="4" t="s">
        <v>1455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2.1" customHeight="1">
      <c r="A35" s="4" t="s">
        <v>1456</v>
      </c>
      <c r="B35" s="4" t="s">
        <v>1359</v>
      </c>
      <c r="C35" s="4" t="s">
        <v>1457</v>
      </c>
      <c r="D35" s="4" t="s">
        <v>1355</v>
      </c>
      <c r="E35" s="4" t="s">
        <v>37</v>
      </c>
      <c r="F35" s="8">
        <v>0</v>
      </c>
      <c r="G35" s="8">
        <v>0</v>
      </c>
      <c r="H35" s="4"/>
      <c r="I35" s="4" t="s">
        <v>1458</v>
      </c>
      <c r="J35" s="4" t="s">
        <v>1459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2.1" customHeight="1">
      <c r="A36" s="4" t="s">
        <v>1460</v>
      </c>
      <c r="B36" s="4" t="s">
        <v>1359</v>
      </c>
      <c r="C36" s="4" t="s">
        <v>1461</v>
      </c>
      <c r="D36" s="4" t="s">
        <v>1355</v>
      </c>
      <c r="E36" s="4" t="s">
        <v>35</v>
      </c>
      <c r="F36" s="8">
        <v>0</v>
      </c>
      <c r="G36" s="8">
        <v>0</v>
      </c>
      <c r="H36" s="4" t="s">
        <v>1462</v>
      </c>
      <c r="I36" s="4" t="s">
        <v>1463</v>
      </c>
      <c r="J36" s="4" t="s">
        <v>1464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2.1" customHeight="1">
      <c r="A37" s="4" t="s">
        <v>1465</v>
      </c>
      <c r="B37" s="4" t="s">
        <v>1353</v>
      </c>
      <c r="C37" s="4" t="s">
        <v>1354</v>
      </c>
      <c r="D37" s="4" t="s">
        <v>1374</v>
      </c>
      <c r="E37" s="4" t="s">
        <v>37</v>
      </c>
      <c r="F37" s="8">
        <v>0</v>
      </c>
      <c r="G37" s="8">
        <v>0</v>
      </c>
      <c r="H37" s="4"/>
      <c r="I37" s="4" t="s">
        <v>1466</v>
      </c>
      <c r="J37" s="4" t="s">
        <v>1467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2.1" customHeight="1">
      <c r="A38" s="4" t="s">
        <v>269</v>
      </c>
      <c r="B38" s="4" t="s">
        <v>1359</v>
      </c>
      <c r="C38" s="4" t="s">
        <v>1468</v>
      </c>
      <c r="D38" s="4" t="s">
        <v>1355</v>
      </c>
      <c r="E38" s="4" t="s">
        <v>39</v>
      </c>
      <c r="F38" s="8">
        <v>27</v>
      </c>
      <c r="G38" s="8">
        <v>63</v>
      </c>
      <c r="H38" s="4"/>
      <c r="I38" s="4" t="s">
        <v>1469</v>
      </c>
      <c r="J38" s="4" t="s">
        <v>1470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2.1" customHeight="1">
      <c r="A39" s="4" t="s">
        <v>1471</v>
      </c>
      <c r="B39" s="4" t="s">
        <v>1353</v>
      </c>
      <c r="C39" s="4" t="s">
        <v>1354</v>
      </c>
      <c r="D39" s="4" t="s">
        <v>1374</v>
      </c>
      <c r="E39" s="4" t="s">
        <v>37</v>
      </c>
      <c r="F39" s="8">
        <v>0</v>
      </c>
      <c r="G39" s="8">
        <v>0</v>
      </c>
      <c r="H39" s="4"/>
      <c r="I39" s="4" t="s">
        <v>1472</v>
      </c>
      <c r="J39" s="4" t="s">
        <v>1473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2.1" customHeight="1">
      <c r="A40" s="4" t="s">
        <v>320</v>
      </c>
      <c r="B40" s="4" t="s">
        <v>1359</v>
      </c>
      <c r="C40" s="4" t="s">
        <v>1474</v>
      </c>
      <c r="D40" s="4" t="s">
        <v>1355</v>
      </c>
      <c r="E40" s="4" t="s">
        <v>39</v>
      </c>
      <c r="F40" s="8">
        <v>18</v>
      </c>
      <c r="G40" s="8">
        <v>30</v>
      </c>
      <c r="H40" s="4"/>
      <c r="I40" s="4" t="s">
        <v>1475</v>
      </c>
      <c r="J40" s="4" t="s">
        <v>1476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2.1" customHeight="1">
      <c r="A41" s="4" t="s">
        <v>1477</v>
      </c>
      <c r="B41" s="4" t="s">
        <v>1353</v>
      </c>
      <c r="C41" s="4" t="s">
        <v>1354</v>
      </c>
      <c r="D41" s="4" t="s">
        <v>1374</v>
      </c>
      <c r="E41" s="4" t="s">
        <v>37</v>
      </c>
      <c r="F41" s="8">
        <v>0</v>
      </c>
      <c r="G41" s="8">
        <v>0</v>
      </c>
      <c r="H41" s="4"/>
      <c r="I41" s="4" t="s">
        <v>1478</v>
      </c>
      <c r="J41" s="4" t="s">
        <v>1479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2.1" customHeight="1">
      <c r="A42" s="4" t="s">
        <v>345</v>
      </c>
      <c r="B42" s="4" t="s">
        <v>1359</v>
      </c>
      <c r="C42" s="4" t="s">
        <v>1480</v>
      </c>
      <c r="D42" s="4" t="s">
        <v>1355</v>
      </c>
      <c r="E42" s="4" t="s">
        <v>39</v>
      </c>
      <c r="F42" s="8">
        <v>20</v>
      </c>
      <c r="G42" s="8">
        <v>30</v>
      </c>
      <c r="H42" s="4"/>
      <c r="I42" s="4" t="s">
        <v>1481</v>
      </c>
      <c r="J42" s="4" t="s">
        <v>1482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2.1" customHeight="1">
      <c r="A43" s="4" t="s">
        <v>1483</v>
      </c>
      <c r="B43" s="4" t="s">
        <v>1353</v>
      </c>
      <c r="C43" s="4" t="s">
        <v>1354</v>
      </c>
      <c r="D43" s="4" t="s">
        <v>1374</v>
      </c>
      <c r="E43" s="4" t="s">
        <v>37</v>
      </c>
      <c r="F43" s="8">
        <v>0</v>
      </c>
      <c r="G43" s="8">
        <v>0</v>
      </c>
      <c r="H43" s="4"/>
      <c r="I43" s="4" t="s">
        <v>1484</v>
      </c>
      <c r="J43" s="4" t="s">
        <v>1485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2.1" customHeight="1">
      <c r="A44" s="4" t="s">
        <v>378</v>
      </c>
      <c r="B44" s="4" t="s">
        <v>1359</v>
      </c>
      <c r="C44" s="4" t="s">
        <v>1486</v>
      </c>
      <c r="D44" s="4" t="s">
        <v>1355</v>
      </c>
      <c r="E44" s="4" t="s">
        <v>39</v>
      </c>
      <c r="F44" s="8">
        <v>10</v>
      </c>
      <c r="G44" s="8">
        <v>27</v>
      </c>
      <c r="H44" s="4"/>
      <c r="I44" s="4" t="s">
        <v>1487</v>
      </c>
      <c r="J44" s="4" t="s">
        <v>1488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2.1" customHeight="1">
      <c r="A45" s="4" t="s">
        <v>1489</v>
      </c>
      <c r="B45" s="4" t="s">
        <v>1353</v>
      </c>
      <c r="C45" s="4" t="s">
        <v>1354</v>
      </c>
      <c r="D45" s="4" t="s">
        <v>1374</v>
      </c>
      <c r="E45" s="4" t="s">
        <v>37</v>
      </c>
      <c r="F45" s="8">
        <v>0</v>
      </c>
      <c r="G45" s="8">
        <v>0</v>
      </c>
      <c r="H45" s="4"/>
      <c r="I45" s="4" t="s">
        <v>1490</v>
      </c>
      <c r="J45" s="4" t="s">
        <v>1491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2.1" customHeight="1">
      <c r="A46" s="4" t="s">
        <v>388</v>
      </c>
      <c r="B46" s="4" t="s">
        <v>1359</v>
      </c>
      <c r="C46" s="4" t="s">
        <v>1492</v>
      </c>
      <c r="D46" s="4" t="s">
        <v>1355</v>
      </c>
      <c r="E46" s="4" t="s">
        <v>39</v>
      </c>
      <c r="F46" s="8">
        <v>15</v>
      </c>
      <c r="G46" s="8">
        <v>24</v>
      </c>
      <c r="H46" s="4"/>
      <c r="I46" s="4" t="s">
        <v>1493</v>
      </c>
      <c r="J46" s="4" t="s">
        <v>1494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2.1" customHeight="1">
      <c r="A47" s="4" t="s">
        <v>1495</v>
      </c>
      <c r="B47" s="4" t="s">
        <v>1353</v>
      </c>
      <c r="C47" s="4" t="s">
        <v>1496</v>
      </c>
      <c r="D47" s="4" t="s">
        <v>1355</v>
      </c>
      <c r="E47" s="4" t="s">
        <v>37</v>
      </c>
      <c r="F47" s="8">
        <v>0</v>
      </c>
      <c r="G47" s="8">
        <v>0</v>
      </c>
      <c r="H47" s="4"/>
      <c r="I47" s="4" t="s">
        <v>1497</v>
      </c>
      <c r="J47" s="4" t="s">
        <v>1498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2.1" customHeight="1">
      <c r="A48" s="4" t="s">
        <v>403</v>
      </c>
      <c r="B48" s="4" t="s">
        <v>1359</v>
      </c>
      <c r="C48" s="4" t="s">
        <v>1499</v>
      </c>
      <c r="D48" s="4" t="s">
        <v>1355</v>
      </c>
      <c r="E48" s="4" t="s">
        <v>39</v>
      </c>
      <c r="F48" s="8">
        <v>16</v>
      </c>
      <c r="G48" s="8">
        <v>53</v>
      </c>
      <c r="H48" s="4"/>
      <c r="I48" s="4" t="s">
        <v>1500</v>
      </c>
      <c r="J48" s="4" t="s">
        <v>1501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2.1" customHeight="1">
      <c r="A49" s="4" t="s">
        <v>1502</v>
      </c>
      <c r="B49" s="4" t="s">
        <v>1353</v>
      </c>
      <c r="C49" s="4" t="s">
        <v>1354</v>
      </c>
      <c r="D49" s="4" t="s">
        <v>1374</v>
      </c>
      <c r="E49" s="4" t="s">
        <v>37</v>
      </c>
      <c r="F49" s="8">
        <v>0</v>
      </c>
      <c r="G49" s="8">
        <v>0</v>
      </c>
      <c r="H49" s="4"/>
      <c r="I49" s="4" t="s">
        <v>1503</v>
      </c>
      <c r="J49" s="4" t="s">
        <v>1504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2.1" customHeight="1">
      <c r="A50" s="4" t="s">
        <v>413</v>
      </c>
      <c r="B50" s="4" t="s">
        <v>1359</v>
      </c>
      <c r="C50" s="4" t="s">
        <v>1505</v>
      </c>
      <c r="D50" s="4" t="s">
        <v>1355</v>
      </c>
      <c r="E50" s="4" t="s">
        <v>39</v>
      </c>
      <c r="F50" s="8">
        <v>16</v>
      </c>
      <c r="G50" s="8">
        <v>45</v>
      </c>
      <c r="H50" s="4"/>
      <c r="I50" s="4" t="s">
        <v>1506</v>
      </c>
      <c r="J50" s="4" t="s">
        <v>1507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2.1" customHeight="1">
      <c r="A51" s="4" t="s">
        <v>443</v>
      </c>
      <c r="B51" s="4" t="s">
        <v>1359</v>
      </c>
      <c r="C51" s="4" t="s">
        <v>1508</v>
      </c>
      <c r="D51" s="4" t="s">
        <v>1355</v>
      </c>
      <c r="E51" s="4" t="s">
        <v>39</v>
      </c>
      <c r="F51" s="8">
        <v>4</v>
      </c>
      <c r="G51" s="8">
        <v>14</v>
      </c>
      <c r="H51" s="4"/>
      <c r="I51" s="4" t="s">
        <v>1509</v>
      </c>
      <c r="J51" s="4" t="s">
        <v>1510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2.1" customHeight="1">
      <c r="A52" s="4" t="s">
        <v>1511</v>
      </c>
      <c r="B52" s="4" t="s">
        <v>1359</v>
      </c>
      <c r="C52" s="4" t="s">
        <v>1512</v>
      </c>
      <c r="D52" s="4" t="s">
        <v>1355</v>
      </c>
      <c r="E52" s="4" t="s">
        <v>35</v>
      </c>
      <c r="F52" s="8">
        <v>0</v>
      </c>
      <c r="G52" s="8">
        <v>0</v>
      </c>
      <c r="H52" s="4" t="s">
        <v>1513</v>
      </c>
      <c r="I52" s="4" t="s">
        <v>1514</v>
      </c>
      <c r="J52" s="4" t="s">
        <v>1515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2.1" customHeight="1">
      <c r="A53" s="4" t="s">
        <v>446</v>
      </c>
      <c r="B53" s="4" t="s">
        <v>1353</v>
      </c>
      <c r="C53" s="4" t="s">
        <v>1516</v>
      </c>
      <c r="D53" s="4" t="s">
        <v>1355</v>
      </c>
      <c r="E53" s="4" t="s">
        <v>39</v>
      </c>
      <c r="F53" s="8">
        <v>1</v>
      </c>
      <c r="G53" s="8">
        <v>4</v>
      </c>
      <c r="H53" s="4" t="s">
        <v>1517</v>
      </c>
      <c r="I53" s="4" t="s">
        <v>1518</v>
      </c>
      <c r="J53" s="4" t="s">
        <v>1519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1520</v>
      </c>
      <c r="B54" s="4" t="s">
        <v>1353</v>
      </c>
      <c r="C54" s="4" t="s">
        <v>1521</v>
      </c>
      <c r="D54" s="4" t="s">
        <v>1355</v>
      </c>
      <c r="E54" s="4" t="s">
        <v>37</v>
      </c>
      <c r="F54" s="8">
        <v>0</v>
      </c>
      <c r="G54" s="8">
        <v>0</v>
      </c>
      <c r="H54" s="4"/>
      <c r="I54" s="4" t="s">
        <v>1522</v>
      </c>
      <c r="J54" s="4" t="s">
        <v>1523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1524</v>
      </c>
      <c r="B55" s="4" t="s">
        <v>1353</v>
      </c>
      <c r="C55" s="4" t="s">
        <v>1525</v>
      </c>
      <c r="D55" s="4" t="s">
        <v>1355</v>
      </c>
      <c r="E55" s="4" t="s">
        <v>37</v>
      </c>
      <c r="F55" s="8">
        <v>0</v>
      </c>
      <c r="G55" s="8">
        <v>0</v>
      </c>
      <c r="H55" s="4"/>
      <c r="I55" s="4" t="s">
        <v>1526</v>
      </c>
      <c r="J55" s="4" t="s">
        <v>1527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560</v>
      </c>
      <c r="B56" s="4" t="s">
        <v>1353</v>
      </c>
      <c r="C56" s="4" t="s">
        <v>1528</v>
      </c>
      <c r="D56" s="4" t="s">
        <v>1355</v>
      </c>
      <c r="E56" s="4" t="s">
        <v>39</v>
      </c>
      <c r="F56" s="8">
        <v>2</v>
      </c>
      <c r="G56" s="8">
        <v>4</v>
      </c>
      <c r="H56" s="4"/>
      <c r="I56" s="4" t="s">
        <v>1529</v>
      </c>
      <c r="J56" s="4" t="s">
        <v>1530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451</v>
      </c>
      <c r="B57" s="4" t="s">
        <v>1353</v>
      </c>
      <c r="C57" s="4" t="s">
        <v>1531</v>
      </c>
      <c r="D57" s="4" t="s">
        <v>1355</v>
      </c>
      <c r="E57" s="4" t="s">
        <v>39</v>
      </c>
      <c r="F57" s="8">
        <v>1</v>
      </c>
      <c r="G57" s="8">
        <v>2</v>
      </c>
      <c r="H57" s="4"/>
      <c r="I57" s="4" t="s">
        <v>1532</v>
      </c>
      <c r="J57" s="4" t="s">
        <v>1533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J1"/>
    <mergeCell ref="A2:J2"/>
  </mergeCells>
  <phoneticPr fontId="8" type="noConversion"/>
  <conditionalFormatting sqref="E6:E57">
    <cfRule type="containsText" dxfId="5" priority="1" operator="containsText" text="含文字"/>
    <cfRule type="containsText" dxfId="4" priority="2" operator="containsText" text="已有中文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填写说明</vt:lpstr>
      <vt:lpstr>翻译清单</vt:lpstr>
      <vt:lpstr>位置明细</vt:lpstr>
      <vt:lpstr>OCR原始明细</vt:lpstr>
      <vt:lpstr>图片清单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所蔚 吴</cp:lastModifiedBy>
  <dcterms:modified xsi:type="dcterms:W3CDTF">2026-08-15T08:07:31Z</dcterms:modified>
</cp:coreProperties>
</file>